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_Visit_Data_Synthetic" sheetId="1" r:id="rId5"/>
    <sheet state="visible" name="Pivot Table 1 — Monthly Visit V" sheetId="2" r:id="rId6"/>
    <sheet state="visible" name="Pivot Table 2 — Peak Visit Time" sheetId="3" r:id="rId7"/>
    <sheet state="visible" name="Pivot Table 3 — No Show Rate by" sheetId="4" r:id="rId8"/>
    <sheet state="visible" name="Pivot Table 4 — Department Util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<sst xmlns="http://schemas.openxmlformats.org/spreadsheetml/2006/main" count="1117" uniqueCount="221">
  <si>
    <t>Visit ID</t>
  </si>
  <si>
    <t>Patient Age</t>
  </si>
  <si>
    <t>Visit Date</t>
  </si>
  <si>
    <t>Day of Week</t>
  </si>
  <si>
    <t>Time of Visit</t>
  </si>
  <si>
    <t>Appointment Type</t>
  </si>
  <si>
    <t>Department</t>
  </si>
  <si>
    <t>Visit Duration Minutes</t>
  </si>
  <si>
    <t>No Show Status</t>
  </si>
  <si>
    <t>Insurance Type</t>
  </si>
  <si>
    <t xml:space="preserve">Month </t>
  </si>
  <si>
    <t>Week Day 1 #</t>
  </si>
  <si>
    <t>V0001</t>
  </si>
  <si>
    <t>Saturday</t>
  </si>
  <si>
    <t>Checkup</t>
  </si>
  <si>
    <t>Primary Care</t>
  </si>
  <si>
    <t>Yes</t>
  </si>
  <si>
    <t>Medicare</t>
  </si>
  <si>
    <t>V0002</t>
  </si>
  <si>
    <t>Monday</t>
  </si>
  <si>
    <t>Follow-up</t>
  </si>
  <si>
    <t>No</t>
  </si>
  <si>
    <t>Self-Pay</t>
  </si>
  <si>
    <t>V0003</t>
  </si>
  <si>
    <t>Sunday</t>
  </si>
  <si>
    <t>Endocrinology</t>
  </si>
  <si>
    <t>V0004</t>
  </si>
  <si>
    <t>Neurology</t>
  </si>
  <si>
    <t>V0005</t>
  </si>
  <si>
    <t>Consultation</t>
  </si>
  <si>
    <t>Pediatrics</t>
  </si>
  <si>
    <t>Private</t>
  </si>
  <si>
    <t>V0006</t>
  </si>
  <si>
    <t>Friday</t>
  </si>
  <si>
    <t>V0007</t>
  </si>
  <si>
    <t>Dermatology</t>
  </si>
  <si>
    <t>Medicaid</t>
  </si>
  <si>
    <t>V0008</t>
  </si>
  <si>
    <t>Thursday</t>
  </si>
  <si>
    <t>Cardiology</t>
  </si>
  <si>
    <t>V0009</t>
  </si>
  <si>
    <t>V0010</t>
  </si>
  <si>
    <t>V0011</t>
  </si>
  <si>
    <t>Tuesday</t>
  </si>
  <si>
    <t>Orthopedics</t>
  </si>
  <si>
    <t>V0012</t>
  </si>
  <si>
    <t>V0013</t>
  </si>
  <si>
    <t>V0014</t>
  </si>
  <si>
    <t>V0015</t>
  </si>
  <si>
    <t>V0016</t>
  </si>
  <si>
    <t>Wednesday</t>
  </si>
  <si>
    <t>V0017</t>
  </si>
  <si>
    <t>V0018</t>
  </si>
  <si>
    <t>V0019</t>
  </si>
  <si>
    <t>V0020</t>
  </si>
  <si>
    <t>V0021</t>
  </si>
  <si>
    <t>V0022</t>
  </si>
  <si>
    <t>V0023</t>
  </si>
  <si>
    <t>Geriatrics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</si>
  <si>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</si>
  <si>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</si>
  <si>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</si>
  <si>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</si>
  <si>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</si>
  <si>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</si>
  <si>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</si>
  <si>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</si>
  <si>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</si>
  <si>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</si>
  <si>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</si>
  <si>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</si>
  <si>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</si>
  <si>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</si>
  <si>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</si>
  <si>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</si>
  <si>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</si>
  <si>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</si>
  <si>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</si>
  <si>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</si>
  <si>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</si>
  <si>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</si>
  <si>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</si>
  <si>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</si>
  <si>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</si>
  <si>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</si>
  <si>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</si>
  <si>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</si>
  <si>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</si>
  <si>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</si>
  <si>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</si>
  <si>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</si>
  <si>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</si>
  <si>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</si>
  <si>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</si>
  <si>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</si>
  <si>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</si>
  <si>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</si>
  <si>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</si>
  <si>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</si>
  <si>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</si>
  <si>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</si>
  <si>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</si>
  <si>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</si>
  <si>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</si>
  <si>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</si>
  <si>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</si>
  <si>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</si>
  <si>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</si>
  <si>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</si>
  <si>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</si>
  <si>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</si>
  <si>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</si>
  <si>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</si>
  <si>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</si>
  <si>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</si>
  <si>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</si>
  <si>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</si>
  <si>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</si>
  <si>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</si>
  <si>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</si>
  <si>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</si>
  <si>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</si>
  <si>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</si>
  <si>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</si>
  <si>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</si>
  <si>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</si>
  <si>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</si>
  <si>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</si>
  <si>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</si>
  <si>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</si>
  <si>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</si>
  <si>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</si>
  <si>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</si>
  <si>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</si>
  <si>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</si>
  <si>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</si>
  <si>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</si>
  <si>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</si>
  <si>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</si>
  <si>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</si>
  <si>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</si>
  <si>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</si>
  <si>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</si>
  <si>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</si>
  <si>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</si>
  <si>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</si>
  <si>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</si>
  <si>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</si>
  <si>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</si>
  <si>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</si>
  <si>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</si>
  <si>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</si>
  <si>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</si>
  <si>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</si>
  <si>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</si>
  <si>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</si>
  <si>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</si>
  <si>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</si>
  <si>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</si>
  <si>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</si>
  <si>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</si>
  <si>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</si>
  <si>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</si>
  <si>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</si>
  <si>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</si>
  <si>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</si>
  <si>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</si>
  <si>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</si>
  <si>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</si>
  <si>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</si>
  <si>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</si>
  <si>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</si>
  <si>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</si>
  <si>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</si>
  <si>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</si>
  <si>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</si>
  <si>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</si>
  <si>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</si>
  <si>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 0143</t>
  </si>
  <si>
    <t>V0144</t>
  </si>
  <si>
    <t>V0145</t>
  </si>
  <si>
    <t>V 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</si>
  <si>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</si>
  <si>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</si>
  <si>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</si>
  <si>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</si>
  <si>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</si>
  <si>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</si>
  <si>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</si>
  <si>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</si>
  <si>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</si>
  <si>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</si>
  <si>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</si>
  <si>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</si>
  <si>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</si>
  <si>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</si>
  <si>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</si>
  <si>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</si>
  <si>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</si>
  <si>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</si>
  <si>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</si>
  <si>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</si>
  <si>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</si>
  <si>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</si>
  <si>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</si>
  <si>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</si>
  <si>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</si>
  <si>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</si>
  <si>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</si>
  <si>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</si>
  <si>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</si>
  <si>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</si>
  <si>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</si>
  <si>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</si>
  <si>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</si>
  <si>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</si>
  <si>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COUNTA of Visit ID</t>
  </si>
  <si>
    <t>Grand Total</t>
  </si>
  <si>
    <t>COUNT of Visit ID</t>
  </si>
  <si>
    <t xml:space="preserve"> </t>
  </si>
  <si>
    <t>COUNT of COUNTA of Visit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</si>
</sst>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 am/p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/>
    </xf>
    <xf borderId="0" fillId="0" fontId="1" numFmtId="165" xfId="0" applyAlignment="1" applyFont="1" applyNumberFormat="1">
      <alignment readingOrder="0"/>
    </xf>
    <xf borderId="0" fillId="0" fontId="2" numFmtId="0" xfId="0" applyFont="1"/>
    <xf borderId="0" fillId="0" fontId="1" numFmtId="0" xfId="0" applyFont="1"/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Monthly Patient Visit Volume Jan to Jun 2026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 — Monthly Visit V'!$A$1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'Pivot Table 1 — Monthly Visit V'!$A$2:$A$1000</c:f>
              <c:numCache/>
            </c:numRef>
          </c:val>
        </c:ser>
        <c:ser>
          <c:idx val="1"/>
          <c:order val="1"/>
          <c:tx>
            <c:strRef>
              <c:f>'Pivot Table 1 — Monthly Visit V'!$B$1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'Pivot Table 1 — Monthly Visit V'!$B$2:$B$1000</c:f>
              <c:numCache/>
            </c:numRef>
          </c:val>
        </c:ser>
        <c:ser>
          <c:idx val="2"/>
          <c:order val="2"/>
          <c:tx>
            <c:strRef>
              <c:f>'Pivot Table 1 — Monthly Visit V'!$C$1</c:f>
            </c:strRef>
          </c:tx>
          <c:val>
            <c:numRef>
              <c:f>'Pivot Table 1 — Monthly Visit V'!$C$2:$C$1000</c:f>
              <c:numCache/>
            </c:numRef>
          </c:val>
        </c:ser>
        <c:ser>
          <c:idx val="3"/>
          <c:order val="3"/>
          <c:tx>
            <c:strRef>
              <c:f>'Pivot Table 1 — Monthly Visit V'!$D$1</c:f>
            </c:strRef>
          </c:tx>
          <c:val>
            <c:numRef>
              <c:f>'Pivot Table 1 — Monthly Visit V'!$D$2:$D$1000</c:f>
              <c:numCache/>
            </c:numRef>
          </c:val>
        </c:ser>
        <c:ser>
          <c:idx val="4"/>
          <c:order val="4"/>
          <c:tx>
            <c:strRef>
              <c:f>'Pivot Table 1 — Monthly Visit V'!$E$1</c:f>
            </c:strRef>
          </c:tx>
          <c:val>
            <c:numRef>
              <c:f>'Pivot Table 1 — Monthly Visit V'!$E$2:$E$1000</c:f>
              <c:numCache/>
            </c:numRef>
          </c:val>
        </c:ser>
        <c:ser>
          <c:idx val="5"/>
          <c:order val="5"/>
          <c:tx>
            <c:strRef>
              <c:f>'Pivot Table 1 — Monthly Visit V'!$F$1</c:f>
            </c:strRef>
          </c:tx>
          <c:val>
            <c:numRef>
              <c:f>'Pivot Table 1 — Monthly Visit V'!$F$2:$F$1000</c:f>
              <c:numCache/>
            </c:numRef>
          </c:val>
        </c:ser>
        <c:ser>
          <c:idx val="6"/>
          <c:order val="6"/>
          <c:tx>
            <c:strRef>
              <c:f>'Pivot Table 1 — Monthly Visit V'!$G$1</c:f>
            </c:strRef>
          </c:tx>
          <c:val>
            <c:numRef>
              <c:f>'Pivot Table 1 — Monthly Visit V'!$G$2:$G$1000</c:f>
              <c:numCache/>
            </c:numRef>
          </c:val>
        </c:ser>
        <c:ser>
          <c:idx val="7"/>
          <c:order val="7"/>
          <c:tx>
            <c:strRef>
              <c:f>'Pivot Table 1 — Monthly Visit V'!$H$1</c:f>
            </c:strRef>
          </c:tx>
          <c:val>
            <c:numRef>
              <c:f>'Pivot Table 1 — Monthly Visit V'!$H$2:$H$1000</c:f>
              <c:numCache/>
            </c:numRef>
          </c:val>
        </c:ser>
        <c:ser>
          <c:idx val="8"/>
          <c:order val="8"/>
          <c:tx>
            <c:strRef>
              <c:f>'Pivot Table 1 — Monthly Visit V'!$I$1</c:f>
            </c:strRef>
          </c:tx>
          <c:val>
            <c:numRef>
              <c:f>'Pivot Table 1 — Monthly Visit V'!$I$2:$I$1000</c:f>
              <c:numCache/>
            </c:numRef>
          </c:val>
        </c:ser>
        <c:ser>
          <c:idx val="9"/>
          <c:order val="9"/>
          <c:tx>
            <c:strRef>
              <c:f>'Pivot Table 1 — Monthly Visit V'!$J$1</c:f>
            </c:strRef>
          </c:tx>
          <c:val>
            <c:numRef>
              <c:f>'Pivot Table 1 — Monthly Visit V'!$J$2:$J$1000</c:f>
              <c:numCache/>
            </c:numRef>
          </c:val>
        </c:ser>
        <c:ser>
          <c:idx val="10"/>
          <c:order val="10"/>
          <c:tx>
            <c:strRef>
              <c:f>'Pivot Table 1 — Monthly Visit V'!$K$1</c:f>
            </c:strRef>
          </c:tx>
          <c:val>
            <c:numRef>
              <c:f>'Pivot Table 1 — Monthly Visit V'!$K$2:$K$1000</c:f>
              <c:numCache/>
            </c:numRef>
          </c:val>
        </c:ser>
        <c:ser>
          <c:idx val="11"/>
          <c:order val="11"/>
          <c:tx>
            <c:strRef>
              <c:f>'Pivot Table 1 — Monthly Visit V'!$L$1</c:f>
            </c:strRef>
          </c:tx>
          <c:val>
            <c:numRef>
              <c:f>'Pivot Table 1 — Monthly Visit V'!$L$2:$L$1000</c:f>
              <c:numCache/>
            </c:numRef>
          </c:val>
        </c:ser>
        <c:ser>
          <c:idx val="12"/>
          <c:order val="12"/>
          <c:tx>
            <c:strRef>
              <c:f>'Pivot Table 1 — Monthly Visit V'!$M$1</c:f>
            </c:strRef>
          </c:tx>
          <c:val>
            <c:numRef>
              <c:f>'Pivot Table 1 — Monthly Visit V'!$M$2:$M$1000</c:f>
              <c:numCache/>
            </c:numRef>
          </c:val>
        </c:ser>
        <c:ser>
          <c:idx val="13"/>
          <c:order val="13"/>
          <c:tx>
            <c:strRef>
              <c:f>'Pivot Table 1 — Monthly Visit V'!$N$1</c:f>
            </c:strRef>
          </c:tx>
          <c:val>
            <c:numRef>
              <c:f>'Pivot Table 1 — Monthly Visit V'!$N$2:$N$1000</c:f>
              <c:numCache/>
            </c:numRef>
          </c:val>
        </c:ser>
        <c:ser>
          <c:idx val="14"/>
          <c:order val="14"/>
          <c:tx>
            <c:strRef>
              <c:f>'Pivot Table 1 — Monthly Visit V'!$O$1</c:f>
            </c:strRef>
          </c:tx>
          <c:val>
            <c:numRef>
              <c:f>'Pivot Table 1 — Monthly Visit V'!$O$2:$O$1000</c:f>
              <c:numCache/>
            </c:numRef>
          </c:val>
        </c:ser>
        <c:ser>
          <c:idx val="15"/>
          <c:order val="15"/>
          <c:tx>
            <c:strRef>
              <c:f>'Pivot Table 1 — Monthly Visit V'!$P$1</c:f>
            </c:strRef>
          </c:tx>
          <c:val>
            <c:numRef>
              <c:f>'Pivot Table 1 — Monthly Visit V'!$P$2:$P$1000</c:f>
              <c:numCache/>
            </c:numRef>
          </c:val>
        </c:ser>
        <c:ser>
          <c:idx val="16"/>
          <c:order val="16"/>
          <c:tx>
            <c:strRef>
              <c:f>'Pivot Table 1 — Monthly Visit V'!$Q$1</c:f>
            </c:strRef>
          </c:tx>
          <c:val>
            <c:numRef>
              <c:f>'Pivot Table 1 — Monthly Visit V'!$Q$2:$Q$1000</c:f>
              <c:numCache/>
            </c:numRef>
          </c:val>
        </c:ser>
        <c:ser>
          <c:idx val="17"/>
          <c:order val="17"/>
          <c:tx>
            <c:strRef>
              <c:f>'Pivot Table 1 — Monthly Visit V'!$R$1</c:f>
            </c:strRef>
          </c:tx>
          <c:val>
            <c:numRef>
              <c:f>'Pivot Table 1 — Monthly Visit V'!$R$2:$R$1000</c:f>
              <c:numCache/>
            </c:numRef>
          </c:val>
        </c:ser>
        <c:ser>
          <c:idx val="18"/>
          <c:order val="18"/>
          <c:tx>
            <c:strRef>
              <c:f>'Pivot Table 1 — Monthly Visit V'!$S$1</c:f>
            </c:strRef>
          </c:tx>
          <c:val>
            <c:numRef>
              <c:f>'Pivot Table 1 — Monthly Visit V'!$S$2:$S$1000</c:f>
              <c:numCache/>
            </c:numRef>
          </c:val>
        </c:ser>
        <c:ser>
          <c:idx val="19"/>
          <c:order val="19"/>
          <c:tx>
            <c:strRef>
              <c:f>'Pivot Table 1 — Monthly Visit V'!$T$1</c:f>
            </c:strRef>
          </c:tx>
          <c:val>
            <c:numRef>
              <c:f>'Pivot Table 1 — Monthly Visit V'!$T$2:$T$1000</c:f>
              <c:numCache/>
            </c:numRef>
          </c:val>
        </c:ser>
        <c:ser>
          <c:idx val="20"/>
          <c:order val="20"/>
          <c:tx>
            <c:strRef>
              <c:f>'Pivot Table 1 — Monthly Visit V'!$U$1</c:f>
            </c:strRef>
          </c:tx>
          <c:val>
            <c:numRef>
              <c:f>'Pivot Table 1 — Monthly Visit V'!$U$2:$U$1000</c:f>
              <c:numCache/>
            </c:numRef>
          </c:val>
        </c:ser>
        <c:ser>
          <c:idx val="21"/>
          <c:order val="21"/>
          <c:tx>
            <c:strRef>
              <c:f>'Pivot Table 1 — Monthly Visit V'!$V$1</c:f>
            </c:strRef>
          </c:tx>
          <c:val>
            <c:numRef>
              <c:f>'Pivot Table 1 — Monthly Visit V'!$V$2:$V$1000</c:f>
              <c:numCache/>
            </c:numRef>
          </c:val>
        </c:ser>
        <c:ser>
          <c:idx val="22"/>
          <c:order val="22"/>
          <c:tx>
            <c:strRef>
              <c:f>'Pivot Table 1 — Monthly Visit V'!$W$1</c:f>
            </c:strRef>
          </c:tx>
          <c:val>
            <c:numRef>
              <c:f>'Pivot Table 1 — Monthly Visit V'!$W$2:$W$1000</c:f>
              <c:numCache/>
            </c:numRef>
          </c:val>
        </c:ser>
        <c:ser>
          <c:idx val="23"/>
          <c:order val="23"/>
          <c:tx>
            <c:strRef>
              <c:f>'Pivot Table 1 — Monthly Visit V'!$X$1</c:f>
            </c:strRef>
          </c:tx>
          <c:val>
            <c:numRef>
              <c:f>'Pivot Table 1 — Monthly Visit V'!$X$2:$X$1000</c:f>
              <c:numCache/>
            </c:numRef>
          </c:val>
        </c:ser>
        <c:ser>
          <c:idx val="24"/>
          <c:order val="24"/>
          <c:tx>
            <c:strRef>
              <c:f>'Pivot Table 1 — Monthly Visit V'!$Y$1</c:f>
            </c:strRef>
          </c:tx>
          <c:val>
            <c:numRef>
              <c:f>'Pivot Table 1 — Monthly Visit V'!$Y$2:$Y$1000</c:f>
              <c:numCache/>
            </c:numRef>
          </c:val>
        </c:ser>
        <c:ser>
          <c:idx val="25"/>
          <c:order val="25"/>
          <c:tx>
            <c:strRef>
              <c:f>'Pivot Table 1 — Monthly Visit V'!$Z$1</c:f>
            </c:strRef>
          </c:tx>
          <c:val>
            <c:numRef>
              <c:f>'Pivot Table 1 — Monthly Visit V'!$Z$2:$Z$1000</c:f>
              <c:numCache/>
            </c:numRef>
          </c:val>
        </c:ser>
        <c:axId val="1832224609"/>
        <c:axId val="1776268905"/>
      </c:barChart>
      <c:catAx>
        <c:axId val="1832224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268905"/>
      </c:catAx>
      <c:valAx>
        <c:axId val="1776268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2246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Visit Volume by Time of 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 — Peak Visit Time'!$A$1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'Pivot Table 2 — Peak Visit Time'!$A$2:$A$1000</c:f>
              <c:numCache/>
            </c:numRef>
          </c:val>
        </c:ser>
        <c:ser>
          <c:idx val="1"/>
          <c:order val="1"/>
          <c:tx>
            <c:strRef>
              <c:f>'Pivot Table 2 — Peak Visit Time'!$B$1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'Pivot Table 2 — Peak Visit Time'!$B$2:$B$1000</c:f>
              <c:numCache/>
            </c:numRef>
          </c:val>
        </c:ser>
        <c:ser>
          <c:idx val="2"/>
          <c:order val="2"/>
          <c:tx>
            <c:strRef>
              <c:f>'Pivot Table 2 — Peak Visit Time'!$C$1</c:f>
            </c:strRef>
          </c:tx>
          <c:val>
            <c:numRef>
              <c:f>'Pivot Table 2 — Peak Visit Time'!$C$2:$C$1000</c:f>
              <c:numCache/>
            </c:numRef>
          </c:val>
        </c:ser>
        <c:ser>
          <c:idx val="3"/>
          <c:order val="3"/>
          <c:tx>
            <c:strRef>
              <c:f>'Pivot Table 2 — Peak Visit Time'!$D$1</c:f>
            </c:strRef>
          </c:tx>
          <c:val>
            <c:numRef>
              <c:f>'Pivot Table 2 — Peak Visit Time'!$D$2:$D$1000</c:f>
              <c:numCache/>
            </c:numRef>
          </c:val>
        </c:ser>
        <c:ser>
          <c:idx val="4"/>
          <c:order val="4"/>
          <c:tx>
            <c:strRef>
              <c:f>'Pivot Table 2 — Peak Visit Time'!$E$1</c:f>
            </c:strRef>
          </c:tx>
          <c:val>
            <c:numRef>
              <c:f>'Pivot Table 2 — Peak Visit Time'!$E$2:$E$1000</c:f>
              <c:numCache/>
            </c:numRef>
          </c:val>
        </c:ser>
        <c:ser>
          <c:idx val="5"/>
          <c:order val="5"/>
          <c:tx>
            <c:strRef>
              <c:f>'Pivot Table 2 — Peak Visit Time'!$F$1</c:f>
            </c:strRef>
          </c:tx>
          <c:val>
            <c:numRef>
              <c:f>'Pivot Table 2 — Peak Visit Time'!$F$2:$F$1000</c:f>
              <c:numCache/>
            </c:numRef>
          </c:val>
        </c:ser>
        <c:ser>
          <c:idx val="6"/>
          <c:order val="6"/>
          <c:tx>
            <c:strRef>
              <c:f>'Pivot Table 2 — Peak Visit Time'!$G$1</c:f>
            </c:strRef>
          </c:tx>
          <c:val>
            <c:numRef>
              <c:f>'Pivot Table 2 — Peak Visit Time'!$G$2:$G$1000</c:f>
              <c:numCache/>
            </c:numRef>
          </c:val>
        </c:ser>
        <c:ser>
          <c:idx val="7"/>
          <c:order val="7"/>
          <c:tx>
            <c:strRef>
              <c:f>'Pivot Table 2 — Peak Visit Time'!$H$1</c:f>
            </c:strRef>
          </c:tx>
          <c:val>
            <c:numRef>
              <c:f>'Pivot Table 2 — Peak Visit Time'!$H$2:$H$1000</c:f>
              <c:numCache/>
            </c:numRef>
          </c:val>
        </c:ser>
        <c:ser>
          <c:idx val="8"/>
          <c:order val="8"/>
          <c:tx>
            <c:strRef>
              <c:f>'Pivot Table 2 — Peak Visit Time'!$I$1</c:f>
            </c:strRef>
          </c:tx>
          <c:val>
            <c:numRef>
              <c:f>'Pivot Table 2 — Peak Visit Time'!$I$2:$I$1000</c:f>
              <c:numCache/>
            </c:numRef>
          </c:val>
        </c:ser>
        <c:ser>
          <c:idx val="9"/>
          <c:order val="9"/>
          <c:tx>
            <c:strRef>
              <c:f>'Pivot Table 2 — Peak Visit Time'!$J$1</c:f>
            </c:strRef>
          </c:tx>
          <c:val>
            <c:numRef>
              <c:f>'Pivot Table 2 — Peak Visit Time'!$J$2:$J$1000</c:f>
              <c:numCache/>
            </c:numRef>
          </c:val>
        </c:ser>
        <c:ser>
          <c:idx val="10"/>
          <c:order val="10"/>
          <c:tx>
            <c:strRef>
              <c:f>'Pivot Table 2 — Peak Visit Time'!$K$1</c:f>
            </c:strRef>
          </c:tx>
          <c:val>
            <c:numRef>
              <c:f>'Pivot Table 2 — Peak Visit Time'!$K$2:$K$1000</c:f>
              <c:numCache/>
            </c:numRef>
          </c:val>
        </c:ser>
        <c:ser>
          <c:idx val="11"/>
          <c:order val="11"/>
          <c:tx>
            <c:strRef>
              <c:f>'Pivot Table 2 — Peak Visit Time'!$L$1</c:f>
            </c:strRef>
          </c:tx>
          <c:val>
            <c:numRef>
              <c:f>'Pivot Table 2 — Peak Visit Time'!$L$2:$L$1000</c:f>
              <c:numCache/>
            </c:numRef>
          </c:val>
        </c:ser>
        <c:ser>
          <c:idx val="12"/>
          <c:order val="12"/>
          <c:tx>
            <c:strRef>
              <c:f>'Pivot Table 2 — Peak Visit Time'!$M$1</c:f>
            </c:strRef>
          </c:tx>
          <c:val>
            <c:numRef>
              <c:f>'Pivot Table 2 — Peak Visit Time'!$M$2:$M$1000</c:f>
              <c:numCache/>
            </c:numRef>
          </c:val>
        </c:ser>
        <c:ser>
          <c:idx val="13"/>
          <c:order val="13"/>
          <c:tx>
            <c:strRef>
              <c:f>'Pivot Table 2 — Peak Visit Time'!$N$1</c:f>
            </c:strRef>
          </c:tx>
          <c:val>
            <c:numRef>
              <c:f>'Pivot Table 2 — Peak Visit Time'!$N$2:$N$1000</c:f>
              <c:numCache/>
            </c:numRef>
          </c:val>
        </c:ser>
        <c:ser>
          <c:idx val="14"/>
          <c:order val="14"/>
          <c:tx>
            <c:strRef>
              <c:f>'Pivot Table 2 — Peak Visit Time'!$O$1</c:f>
            </c:strRef>
          </c:tx>
          <c:val>
            <c:numRef>
              <c:f>'Pivot Table 2 — Peak Visit Time'!$O$2:$O$1000</c:f>
              <c:numCache/>
            </c:numRef>
          </c:val>
        </c:ser>
        <c:ser>
          <c:idx val="15"/>
          <c:order val="15"/>
          <c:tx>
            <c:strRef>
              <c:f>'Pivot Table 2 — Peak Visit Time'!$P$1</c:f>
            </c:strRef>
          </c:tx>
          <c:val>
            <c:numRef>
              <c:f>'Pivot Table 2 — Peak Visit Time'!$P$2:$P$1000</c:f>
              <c:numCache/>
            </c:numRef>
          </c:val>
        </c:ser>
        <c:ser>
          <c:idx val="16"/>
          <c:order val="16"/>
          <c:tx>
            <c:strRef>
              <c:f>'Pivot Table 2 — Peak Visit Time'!$Q$1</c:f>
            </c:strRef>
          </c:tx>
          <c:val>
            <c:numRef>
              <c:f>'Pivot Table 2 — Peak Visit Time'!$Q$2:$Q$1000</c:f>
              <c:numCache/>
            </c:numRef>
          </c:val>
        </c:ser>
        <c:ser>
          <c:idx val="17"/>
          <c:order val="17"/>
          <c:tx>
            <c:strRef>
              <c:f>'Pivot Table 2 — Peak Visit Time'!$R$1</c:f>
            </c:strRef>
          </c:tx>
          <c:val>
            <c:numRef>
              <c:f>'Pivot Table 2 — Peak Visit Time'!$R$2:$R$1000</c:f>
              <c:numCache/>
            </c:numRef>
          </c:val>
        </c:ser>
        <c:ser>
          <c:idx val="18"/>
          <c:order val="18"/>
          <c:tx>
            <c:strRef>
              <c:f>'Pivot Table 2 — Peak Visit Time'!$S$1</c:f>
            </c:strRef>
          </c:tx>
          <c:val>
            <c:numRef>
              <c:f>'Pivot Table 2 — Peak Visit Time'!$S$2:$S$1000</c:f>
              <c:numCache/>
            </c:numRef>
          </c:val>
        </c:ser>
        <c:ser>
          <c:idx val="19"/>
          <c:order val="19"/>
          <c:tx>
            <c:strRef>
              <c:f>'Pivot Table 2 — Peak Visit Time'!$T$1</c:f>
            </c:strRef>
          </c:tx>
          <c:val>
            <c:numRef>
              <c:f>'Pivot Table 2 — Peak Visit Time'!$T$2:$T$1000</c:f>
              <c:numCache/>
            </c:numRef>
          </c:val>
        </c:ser>
        <c:ser>
          <c:idx val="20"/>
          <c:order val="20"/>
          <c:tx>
            <c:strRef>
              <c:f>'Pivot Table 2 — Peak Visit Time'!$U$1</c:f>
            </c:strRef>
          </c:tx>
          <c:val>
            <c:numRef>
              <c:f>'Pivot Table 2 — Peak Visit Time'!$U$2:$U$1000</c:f>
              <c:numCache/>
            </c:numRef>
          </c:val>
        </c:ser>
        <c:ser>
          <c:idx val="21"/>
          <c:order val="21"/>
          <c:tx>
            <c:strRef>
              <c:f>'Pivot Table 2 — Peak Visit Time'!$V$1</c:f>
            </c:strRef>
          </c:tx>
          <c:val>
            <c:numRef>
              <c:f>'Pivot Table 2 — Peak Visit Time'!$V$2:$V$1000</c:f>
              <c:numCache/>
            </c:numRef>
          </c:val>
        </c:ser>
        <c:ser>
          <c:idx val="22"/>
          <c:order val="22"/>
          <c:tx>
            <c:strRef>
              <c:f>'Pivot Table 2 — Peak Visit Time'!$W$1</c:f>
            </c:strRef>
          </c:tx>
          <c:val>
            <c:numRef>
              <c:f>'Pivot Table 2 — Peak Visit Time'!$W$2:$W$1000</c:f>
              <c:numCache/>
            </c:numRef>
          </c:val>
        </c:ser>
        <c:ser>
          <c:idx val="23"/>
          <c:order val="23"/>
          <c:tx>
            <c:strRef>
              <c:f>'Pivot Table 2 — Peak Visit Time'!$X$1</c:f>
            </c:strRef>
          </c:tx>
          <c:val>
            <c:numRef>
              <c:f>'Pivot Table 2 — Peak Visit Time'!$X$2:$X$1000</c:f>
              <c:numCache/>
            </c:numRef>
          </c:val>
        </c:ser>
        <c:ser>
          <c:idx val="24"/>
          <c:order val="24"/>
          <c:tx>
            <c:strRef>
              <c:f>'Pivot Table 2 — Peak Visit Time'!$Y$1</c:f>
            </c:strRef>
          </c:tx>
          <c:val>
            <c:numRef>
              <c:f>'Pivot Table 2 — Peak Visit Time'!$Y$2:$Y$1000</c:f>
              <c:numCache/>
            </c:numRef>
          </c:val>
        </c:ser>
        <c:ser>
          <c:idx val="25"/>
          <c:order val="25"/>
          <c:tx>
            <c:strRef>
              <c:f>'Pivot Table 2 — Peak Visit Time'!$Z$1</c:f>
            </c:strRef>
          </c:tx>
          <c:val>
            <c:numRef>
              <c:f>'Pivot Table 2 — Peak Visit Time'!$Z$2:$Z$1000</c:f>
              <c:numCache/>
            </c:numRef>
          </c:val>
        </c:ser>
        <c:axId val="948057322"/>
        <c:axId val="567067362"/>
      </c:barChart>
      <c:catAx>
        <c:axId val="948057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067362"/>
      </c:catAx>
      <c:valAx>
        <c:axId val="567067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057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 Show Rate by Month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3 — No Show Rate by'!$B$1:$B$2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3 — No Show Rate by'!$A$3:$A$8</c:f>
            </c:strRef>
          </c:cat>
          <c:val>
            <c:numRef>
              <c:f>'Pivot Table 3 — No Show Rate by'!$B$3:$B$8</c:f>
              <c:numCache/>
            </c:numRef>
          </c:val>
          <c:smooth val="0"/>
        </c:ser>
        <c:ser>
          <c:idx val="1"/>
          <c:order val="1"/>
          <c:tx>
            <c:strRef>
              <c:f>'Pivot Table 3 — No Show Rate by'!$C$1:$C$2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3 — No Show Rate by'!$A$3:$A$8</c:f>
            </c:strRef>
          </c:cat>
          <c:val>
            <c:numRef>
              <c:f>'Pivot Table 3 — No Show Rate by'!$C$3:$C$8</c:f>
              <c:numCache/>
            </c:numRef>
          </c:val>
          <c:smooth val="0"/>
        </c:ser>
        <c:ser>
          <c:idx val="2"/>
          <c:order val="2"/>
          <c:tx>
            <c:strRef>
              <c:f>'Pivot Table 3 — No Show Rate by'!$D$1:$D$2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'Pivot Table 3 — No Show Rate by'!$A$3:$A$8</c:f>
            </c:strRef>
          </c:cat>
          <c:val>
            <c:numRef>
              <c:f>'Pivot Table 3 — No Show Rate by'!$D$3:$D$8</c:f>
              <c:numCache/>
            </c:numRef>
          </c:val>
          <c:smooth val="0"/>
        </c:ser>
        <c:axId val="1996657277"/>
        <c:axId val="1271380743"/>
      </c:lineChart>
      <c:catAx>
        <c:axId val="1996657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380743"/>
      </c:catAx>
      <c:valAx>
        <c:axId val="1271380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657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Visit Volume by Department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3 — No Show Rate by'!$A$1:$A$2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'Pivot Table 3 — No Show Rate by'!$A$3:$A$181</c:f>
              <c:numCache/>
            </c:numRef>
          </c:val>
        </c:ser>
        <c:ser>
          <c:idx val="1"/>
          <c:order val="1"/>
          <c:tx>
            <c:strRef>
              <c:f>'Pivot Table 3 — No Show Rate by'!$B$1:$B$2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'Pivot Table 3 — No Show Rate by'!$B$3:$B$181</c:f>
              <c:numCache/>
            </c:numRef>
          </c:val>
        </c:ser>
        <c:ser>
          <c:idx val="2"/>
          <c:order val="2"/>
          <c:tx>
            <c:strRef>
              <c:f>'Pivot Table 3 — No Show Rate by'!$C$1:$C$2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'Pivot Table 3 — No Show Rate by'!$C$3:$C$181</c:f>
              <c:numCache/>
            </c:numRef>
          </c:val>
        </c:ser>
        <c:ser>
          <c:idx val="3"/>
          <c:order val="3"/>
          <c:tx>
            <c:strRef>
              <c:f>'Pivot Table 3 — No Show Rate by'!$D$1:$D$2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'Pivot Table 3 — No Show Rate by'!$D$3:$D$181</c:f>
              <c:numCache/>
            </c:numRef>
          </c:val>
        </c:ser>
        <c:ser>
          <c:idx val="4"/>
          <c:order val="4"/>
          <c:tx>
            <c:strRef>
              <c:f>'Pivot Table 3 — No Show Rate by'!$E$1:$E$2</c:f>
            </c:strRef>
          </c:tx>
          <c:val>
            <c:numRef>
              <c:f>'Pivot Table 3 — No Show Rate by'!$E$3:$E$181</c:f>
              <c:numCache/>
            </c:numRef>
          </c:val>
        </c:ser>
        <c:ser>
          <c:idx val="5"/>
          <c:order val="5"/>
          <c:tx>
            <c:strRef>
              <c:f>'Pivot Table 3 — No Show Rate by'!$F$1:$F$2</c:f>
            </c:strRef>
          </c:tx>
          <c:val>
            <c:numRef>
              <c:f>'Pivot Table 3 — No Show Rate by'!$F$3:$F$181</c:f>
              <c:numCache/>
            </c:numRef>
          </c:val>
        </c:ser>
        <c:ser>
          <c:idx val="6"/>
          <c:order val="6"/>
          <c:tx>
            <c:strRef>
              <c:f>'Pivot Table 3 — No Show Rate by'!$G$1:$G$2</c:f>
            </c:strRef>
          </c:tx>
          <c:val>
            <c:numRef>
              <c:f>'Pivot Table 3 — No Show Rate by'!$G$3:$G$181</c:f>
              <c:numCache/>
            </c:numRef>
          </c:val>
        </c:ser>
        <c:ser>
          <c:idx val="7"/>
          <c:order val="7"/>
          <c:tx>
            <c:strRef>
              <c:f>'Pivot Table 3 — No Show Rate by'!$H$1:$H$2</c:f>
            </c:strRef>
          </c:tx>
          <c:val>
            <c:numRef>
              <c:f>'Pivot Table 3 — No Show Rate by'!$H$3:$H$181</c:f>
              <c:numCache/>
            </c:numRef>
          </c:val>
        </c:ser>
        <c:ser>
          <c:idx val="8"/>
          <c:order val="8"/>
          <c:tx>
            <c:strRef>
              <c:f>'Pivot Table 3 — No Show Rate by'!$I$1:$I$2</c:f>
            </c:strRef>
          </c:tx>
          <c:val>
            <c:numRef>
              <c:f>'Pivot Table 3 — No Show Rate by'!$I$3:$I$181</c:f>
              <c:numCache/>
            </c:numRef>
          </c:val>
        </c:ser>
        <c:ser>
          <c:idx val="9"/>
          <c:order val="9"/>
          <c:tx>
            <c:strRef>
              <c:f>'Pivot Table 3 — No Show Rate by'!$J$1:$J$2</c:f>
            </c:strRef>
          </c:tx>
          <c:val>
            <c:numRef>
              <c:f>'Pivot Table 3 — No Show Rate by'!$J$3:$J$181</c:f>
              <c:numCache/>
            </c:numRef>
          </c:val>
        </c:ser>
        <c:ser>
          <c:idx val="10"/>
          <c:order val="10"/>
          <c:tx>
            <c:strRef>
              <c:f>'Pivot Table 3 — No Show Rate by'!$K$1:$K$2</c:f>
            </c:strRef>
          </c:tx>
          <c:val>
            <c:numRef>
              <c:f>'Pivot Table 3 — No Show Rate by'!$K$3:$K$181</c:f>
              <c:numCache/>
            </c:numRef>
          </c:val>
        </c:ser>
        <c:ser>
          <c:idx val="11"/>
          <c:order val="11"/>
          <c:tx>
            <c:strRef>
              <c:f>'Pivot Table 3 — No Show Rate by'!$L$1:$L$2</c:f>
            </c:strRef>
          </c:tx>
          <c:val>
            <c:numRef>
              <c:f>'Pivot Table 3 — No Show Rate by'!$L$3:$L$181</c:f>
              <c:numCache/>
            </c:numRef>
          </c:val>
        </c:ser>
        <c:overlap val="100"/>
        <c:axId val="82985803"/>
        <c:axId val="261728728"/>
      </c:barChart>
      <c:catAx>
        <c:axId val="829858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1728728"/>
      </c:catAx>
      <c:valAx>
        <c:axId val="2617287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858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0</xdr:row>
      <xdr:rowOff>0</xdr:rowOff>
    </xdr:from>
    <xdr:ext cx="4819650" cy="1638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81" sheet="Patient_Visit_Data_Synthetic"/>
  </cacheSource>
  <cacheFields>
    <cacheField name="Visit ID" numFmtId="0">
      <sharedItems>
        <s v="V0001"/>
        <s v="V0002"/>
        <s v="V0003"/>
        <s v="V0004"/>
        <s v="V0005"/>
        <s v="V0006"/>
        <s v="V0007"/>
        <s v="V0008"/>
        <s v="V0009"/>
        <s v="V0010"/>
        <s v="V0011"/>
        <s v="V0012"/>
        <s v="V0013"/>
        <s v="V0014"/>
        <s v="V0015"/>
        <s v="V0016"/>
        <s v="V0017"/>
        <s v="V0018"/>
        <s v="V0019"/>
        <s v="V0020"/>
        <s v="V0021"/>
        <s v="V0022"/>
        <s v="V0023"/>
        <s v="V0024"/>
        <s v="V0025"/>
        <s v="V0026"/>
        <s v="V0027"/>
        <s v="V0028"/>
        <s v="V0029"/>
        <s v="V0030"/>
        <s v="V0031"/>
        <s v="V0032"/>
        <s v="V0033"/>
        <s v="V0034"/>
        <s v="V0035"/>
        <s v="V0036"/>
        <s v="V0037"/>
        <s v="V0038"/>
        <s v="V0039"/>
        <s v="V0040"/>
        <s v="V0041"/>
        <s v="V0042"/>
        <s v="V0043"/>
        <s v="V0044"/>
        <s v="V0045"/>
        <s v="V0046"/>
        <s v="V0047"/>
        <s v="V0048"/>
        <s v="V0049"/>
        <s v="V0050"/>
        <s v="V0051"/>
        <s v="V0052"/>
        <s v="V0053"/>
        <s v="V0054"/>
        <s v="V0055"/>
        <s v="V0056"/>
        <s v="V0057"/>
        <s v="V0058"/>
        <s v="V0059"/>
        <s v="V0060"/>
        <s v="V0061"/>
        <s v="V0062"/>
        <s v="V0063"/>
        <s v="V0064"/>
        <s v="V0065"/>
        <s v="V0066"/>
        <s v="V0067"/>
        <s v="V0068"/>
        <s v="V0069"/>
        <s v="V0070"/>
        <s v="V0071"/>
        <s v="V0072"/>
        <s v="V0073"/>
        <s v="V0074"/>
        <s v="V0075"/>
        <s v="V0076"/>
        <s v="V0077"/>
        <s v="V0078"/>
        <s v="V0079"/>
        <s v="V0080"/>
        <s v="V0081"/>
        <s v="V0082"/>
        <s v="V0083"/>
        <s v="V0084"/>
        <s v="V0085"/>
        <s v="V0086"/>
        <s v="V0087"/>
        <s v="V0088"/>
        <s v="V0089"/>
        <s v="V0090"/>
        <s v="V0091"/>
        <s v="V0092"/>
        <s v="V0093"/>
        <s v="V0094"/>
        <s v="V0095"/>
        <s v="V0096"/>
        <s v="V0097"/>
        <s v="V0098"/>
        <s v="V0099"/>
        <s v="V0100"/>
        <s v="V0101"/>
        <s v="V0102"/>
        <s v="V0103"/>
        <s v="V0104"/>
        <s v="V0105"/>
        <s v="V0106"/>
        <s v="V0107"/>
        <s v="V0108"/>
        <s v="V0109"/>
        <s v="V0110"/>
        <s v="V0111"/>
        <s v="V0112"/>
        <s v="V0113"/>
        <s v="V0114"/>
        <s v="V0115"/>
        <s v="V0116"/>
        <s v="V0117"/>
        <s v="V0118"/>
        <s v="V0119"/>
        <s v="V0120"/>
        <s v="V0121"/>
        <s v="V0122"/>
        <s v="V0123"/>
        <s v="V0124"/>
        <s v="V0125"/>
        <s v="V0126"/>
        <s v="V0127"/>
        <s v="V0128"/>
        <s v="V0129"/>
        <s v="V0130"/>
        <s v="V0131"/>
        <s v="V0132"/>
        <s v="V0133"/>
        <s v="V0134"/>
        <s v="V0135"/>
        <s v="V0136"/>
        <s v="V0137"/>
        <s v="V0138"/>
        <s v="V0139"/>
        <s v="V0140"/>
        <s v="V0141"/>
        <s v="V0142"/>
        <s v="V 0143"/>
        <s v="V0144"/>
        <s v="V0145"/>
        <s v="V 0146"/>
        <s v="V0147"/>
        <s v="V0148"/>
        <s v="V0149"/>
        <s v="V0150"/>
        <s v="V0151"/>
        <s v="V0152"/>
        <s v="V0153"/>
        <s v="V0154"/>
        <s v="V0155"/>
        <s v="V0156"/>
        <s v="V0157"/>
        <s v="V0158"/>
        <s v="V0159"/>
        <s v="V0160"/>
        <s v="V0161"/>
        <s v="V0162"/>
        <s v="V0163"/>
        <s v="V0164"/>
        <s v="V0165"/>
        <s v="V0166"/>
        <s v="V0167"/>
        <s v="V0168"/>
        <s v="V0169"/>
        <s v="V0170"/>
        <s v="V0171"/>
        <s v="V0172"/>
        <s v="V0173"/>
        <s v="V0174"/>
        <s v="V0175"/>
        <s v="V0176"/>
        <s v="V0177"/>
        <s v="V0178"/>
        <s v="V0179"/>
        <s v="V0180"/>
      </sharedItems>
    </cacheField>
    <cacheField name="Patient Age" numFmtId="0">
      <sharedItems containsSemiMixedTypes="0" containsString="0" containsNumber="1" containsInteger="1">
        <n v="78.0"/>
        <n v="46.0"/>
        <n v="18.0"/>
        <n v="63.0"/>
        <n v="73.0"/>
        <n v="69.0"/>
        <n v="24.0"/>
        <n v="34.0"/>
        <n v="71.0"/>
        <n v="27.0"/>
        <n v="68.0"/>
        <n v="38.0"/>
        <n v="33.0"/>
        <n v="42.0"/>
        <n v="57.0"/>
        <n v="39.0"/>
        <n v="31.0"/>
        <n v="21.0"/>
        <n v="61.0"/>
        <n v="55.0"/>
        <n v="72.0"/>
        <n v="37.0"/>
        <n v="19.0"/>
        <n v="47.0"/>
        <n v="36.0"/>
        <n v="43.0"/>
        <n v="70.0"/>
        <n v="50.0"/>
        <n v="54.0"/>
        <n v="51.0"/>
        <n v="29.0"/>
        <n v="66.0"/>
        <n v="60.0"/>
        <n v="52.0"/>
        <n v="22.0"/>
        <n v="26.0"/>
        <n v="67.0"/>
        <n v="44.0"/>
        <n v="49.0"/>
        <n v="65.0"/>
        <n v="80.0"/>
        <n v="35.0"/>
        <n v="53.0"/>
        <n v="45.0"/>
        <n v="58.0"/>
        <n v="74.0"/>
        <n v="41.0"/>
        <n v="62.0"/>
        <n v="77.0"/>
        <n v="75.0"/>
        <n v="28.0"/>
        <n v="79.0"/>
        <n v="25.0"/>
        <n v="64.0"/>
        <n v="48.0"/>
        <n v="59.0"/>
        <n v="76.0"/>
        <n v="20.0"/>
        <n v="23.0"/>
        <n v="32.0"/>
      </sharedItems>
    </cacheField>
    <cacheField name="Visit Date" numFmtId="164">
      <sharedItems containsSemiMixedTypes="0" containsDate="1" containsString="0">
        <d v="2026-04-18T00:00:00Z"/>
        <d v="2026-05-18T00:00:00Z"/>
        <d v="2026-01-25T00:00:00Z"/>
        <d v="2026-04-04T00:00:00Z"/>
        <d v="2026-06-01T00:00:00Z"/>
        <d v="2026-03-06T00:00:00Z"/>
        <d v="2026-05-04T00:00:00Z"/>
        <d v="2026-06-18T00:00:00Z"/>
        <d v="2026-04-24T00:00:00Z"/>
        <d v="2026-01-09T00:00:00Z"/>
        <d v="2026-01-20T00:00:00Z"/>
        <d v="2026-05-17T00:00:00Z"/>
        <d v="2026-04-05T00:00:00Z"/>
        <d v="2026-02-17T00:00:00Z"/>
        <d v="2026-05-31T00:00:00Z"/>
        <d v="2026-04-08T00:00:00Z"/>
        <d v="2026-01-19T00:00:00Z"/>
        <d v="2026-05-11T00:00:00Z"/>
        <d v="2026-01-08T00:00:00Z"/>
        <d v="2026-02-06T00:00:00Z"/>
        <d v="2026-02-01T00:00:00Z"/>
        <d v="2026-01-23T00:00:00Z"/>
        <d v="2026-02-10T00:00:00Z"/>
        <d v="2026-04-02T00:00:00Z"/>
        <d v="2026-01-13T00:00:00Z"/>
        <d v="2026-06-07T00:00:00Z"/>
        <d v="2026-05-06T00:00:00Z"/>
        <d v="2026-02-22T00:00:00Z"/>
        <d v="2026-06-25T00:00:00Z"/>
        <d v="2026-03-19T00:00:00Z"/>
        <d v="2026-04-06T00:00:00Z"/>
        <d v="2026-06-04T00:00:00Z"/>
        <d v="2026-01-15T00:00:00Z"/>
        <d v="2026-06-10T00:00:00Z"/>
        <d v="2026-04-15T00:00:00Z"/>
        <d v="2026-03-16T00:00:00Z"/>
        <d v="2026-03-07T00:00:00Z"/>
        <d v="2026-03-11T00:00:00Z"/>
        <d v="2026-04-11T00:00:00Z"/>
        <d v="2026-02-25T00:00:00Z"/>
        <d v="2026-03-18T00:00:00Z"/>
        <d v="2026-02-08T00:00:00Z"/>
        <d v="2026-04-27T00:00:00Z"/>
        <d v="2026-05-22T00:00:00Z"/>
        <d v="2026-02-05T00:00:00Z"/>
        <d v="2026-06-29T00:00:00Z"/>
        <d v="2026-05-01T00:00:00Z"/>
        <d v="2026-02-14T00:00:00Z"/>
        <d v="2026-01-31T00:00:00Z"/>
        <d v="2026-03-12T00:00:00Z"/>
        <d v="2026-04-23T00:00:00Z"/>
        <d v="2026-03-03T00:00:00Z"/>
        <d v="2026-04-12T00:00:00Z"/>
        <d v="2026-06-19T00:00:00Z"/>
        <d v="2026-02-19T00:00:00Z"/>
        <d v="2026-03-26T00:00:00Z"/>
        <d v="2026-03-28T00:00:00Z"/>
        <d v="2026-05-29T00:00:00Z"/>
        <d v="2026-06-11T00:00:00Z"/>
        <d v="2026-05-19T00:00:00Z"/>
        <d v="2026-05-16T00:00:00Z"/>
        <d v="2026-05-21T00:00:00Z"/>
        <d v="2026-06-14T00:00:00Z"/>
        <d v="2026-03-30T00:00:00Z"/>
        <d v="2026-03-15T00:00:00Z"/>
        <d v="2026-04-21T00:00:00Z"/>
        <d v="2026-05-23T00:00:00Z"/>
        <d v="2026-06-06T00:00:00Z"/>
        <d v="2026-06-27T00:00:00Z"/>
        <d v="2026-01-10T00:00:00Z"/>
        <d v="2026-01-27T00:00:00Z"/>
        <d v="2026-04-20T00:00:00Z"/>
        <d v="2026-06-23T00:00:00Z"/>
        <d v="2026-05-15T00:00:00Z"/>
        <d v="2026-05-25T00:00:00Z"/>
        <d v="2026-01-29T00:00:00Z"/>
        <d v="2026-03-25T00:00:00Z"/>
        <d v="2026-03-01T00:00:00Z"/>
        <d v="2026-05-30T00:00:00Z"/>
        <d v="2026-03-10T00:00:00Z"/>
        <d v="2026-05-26T00:00:00Z"/>
        <d v="2026-02-24T00:00:00Z"/>
        <d v="2026-05-10T00:00:00Z"/>
        <d v="2026-02-03T00:00:00Z"/>
        <d v="2026-04-29T00:00:00Z"/>
        <d v="2026-02-18T00:00:00Z"/>
        <d v="2026-03-14T00:00:00Z"/>
        <d v="2026-04-25T00:00:00Z"/>
        <d v="2026-05-08T00:00:00Z"/>
        <d v="2026-06-12T00:00:00Z"/>
        <d v="2026-06-28T00:00:00Z"/>
        <d v="2026-01-06T00:00:00Z"/>
        <d v="2026-01-16T00:00:00Z"/>
        <d v="2026-01-21T00:00:00Z"/>
        <d v="2026-01-02T00:00:00Z"/>
        <d v="2026-06-30T00:00:00Z"/>
        <d v="2026-02-09T00:00:00Z"/>
        <d v="2026-02-12T00:00:00Z"/>
        <d v="2026-01-05T00:00:00Z"/>
        <d v="2026-01-14T00:00:00Z"/>
        <d v="2026-06-20T00:00:00Z"/>
        <d v="2026-01-18T00:00:00Z"/>
        <d v="2026-01-03T00:00:00Z"/>
        <d v="2026-04-26T00:00:00Z"/>
        <d v="2026-02-15T00:00:00Z"/>
        <d v="2026-06-02T00:00:00Z"/>
        <d v="2026-06-24T00:00:00Z"/>
        <d v="2026-06-26T00:00:00Z"/>
        <d v="2026-02-23T00:00:00Z"/>
        <d v="2026-03-31T00:00:00Z"/>
        <d v="2026-02-07T00:00:00Z"/>
        <d v="2026-05-20T00:00:00Z"/>
        <d v="2026-02-26T00:00:00Z"/>
        <d v="2026-05-14T00:00:00Z"/>
        <d v="2026-01-04T00:00:00Z"/>
        <d v="2026-04-14T00:00:00Z"/>
      </sharedItems>
    </cacheField>
    <cacheField name="Day of Week" numFmtId="0">
      <sharedItems>
        <s v="Saturday"/>
        <s v="Monday"/>
        <s v="Sunday"/>
        <s v="Friday"/>
        <s v="Thursday"/>
        <s v="Tuesday"/>
        <s v="Wednesday"/>
      </sharedItems>
    </cacheField>
    <cacheField name="Time of Visit" numFmtId="165">
      <sharedItems containsSemiMixedTypes="0" containsDate="1" containsString="0">
        <d v="1899-12-30T13:30:00Z"/>
        <d v="1899-12-30T17:30:00Z"/>
        <d v="1899-12-30T13:00:00Z"/>
        <d v="1899-12-30T09:00:00Z"/>
        <d v="1899-12-30T17:15:00Z"/>
        <d v="1899-12-30T13:15:00Z"/>
        <d v="1899-12-30T09:15:00Z"/>
        <d v="1899-12-30T09:30:00Z"/>
        <d v="1899-12-30T17:00:00Z"/>
      </sharedItems>
    </cacheField>
    <cacheField name="Appointment Type" numFmtId="0">
      <sharedItems>
        <s v="Checkup"/>
        <s v="Follow-up"/>
        <s v="Consultation"/>
      </sharedItems>
    </cacheField>
    <cacheField name="Department" numFmtId="0">
      <sharedItems>
        <s v="Primary Care"/>
        <s v="Endocrinology"/>
        <s v="Neurology"/>
        <s v="Pediatrics"/>
        <s v="Dermatology"/>
        <s v="Cardiology"/>
        <s v="Orthopedics"/>
        <s v="Geriatrics"/>
      </sharedItems>
    </cacheField>
    <cacheField name="Visit Duration Minutes" numFmtId="0">
      <sharedItems containsSemiMixedTypes="0" containsString="0" containsNumber="1" containsInteger="1">
        <n v="30.0"/>
        <n v="50.0"/>
        <n v="20.0"/>
        <n v="35.0"/>
        <n v="45.0"/>
        <n v="40.0"/>
        <n v="25.0"/>
        <n v="60.0"/>
        <n v="15.0"/>
      </sharedItems>
    </cacheField>
    <cacheField name="No Show Status" numFmtId="0">
      <sharedItems>
        <s v="Yes"/>
        <s v="No"/>
      </sharedItems>
    </cacheField>
    <cacheField name="Insurance Type" numFmtId="0">
      <sharedItems>
        <s v="Medicare"/>
        <s v="Self-Pay"/>
        <s v="Private"/>
        <s v="Medicaid"/>
      </sharedItems>
    </cacheField>
    <cacheField name="Month " numFmtId="0">
      <sharedItems containsSemiMixedTypes="0" containsString="0" containsNumber="1" containsInteger="1">
        <n v="4.0"/>
        <n v="5.0"/>
        <n v="1.0"/>
        <n v="6.0"/>
        <n v="3.0"/>
        <n v="2.0"/>
      </sharedItems>
    </cacheField>
    <cacheField name="Week Day 1 #" numFmtId="0">
      <sharedItems containsSemiMixedTypes="0" containsString="0" containsNumber="1" containsInteger="1">
        <n v="6.0"/>
        <n v="1.0"/>
        <n v="7.0"/>
        <n v="5.0"/>
        <n v="4.0"/>
        <n v="2.0"/>
        <n v="3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81" sheet="Pivot Table 3 — No Show Rate by"/>
  </cacheSource>
  <cacheFields>
    <cacheField name="COUNTA of Visit ID">
      <sharedItems containsBlank="1" containsMixedTypes="1" containsNumber="1" containsInteger="1">
        <s v="Month "/>
        <n v="1.0"/>
        <n v="2.0"/>
        <n v="3.0"/>
        <n v="4.0"/>
        <n v="5.0"/>
        <n v="6.0"/>
        <s v="Grand Total"/>
        <m/>
      </sharedItems>
    </cacheField>
    <cacheField name="No Show Status">
      <sharedItems containsBlank="1" containsMixedTypes="1" containsNumber="1" containsInteger="1">
        <s v="No"/>
        <n v="30.0"/>
        <n v="25.0"/>
        <n v="27.0"/>
        <n v="24.0"/>
        <n v="156.0"/>
        <m/>
      </sharedItems>
    </cacheField>
    <cacheField name=" ">
      <sharedItems containsBlank="1" containsMixedTypes="1" containsNumber="1" containsInteger="1">
        <s v="Yes"/>
        <n v="3.0"/>
        <n v="4.0"/>
        <n v="6.0"/>
        <n v="5.0"/>
        <n v="24.0"/>
        <m/>
      </sharedItems>
    </cacheField>
    <cacheField name=" 2">
      <sharedItems containsBlank="1" containsMixedTypes="1" containsNumber="1" containsInteger="1">
        <s v="Grand Total"/>
        <n v="33.0"/>
        <n v="29.0"/>
        <n v="28.0"/>
        <n v="30.0"/>
        <n v="180.0"/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 — Monthly Visit V" cacheId="0" dataCaption="" compact="0" compactData="0">
  <location ref="A1:B8" firstHeaderRow="0" firstDataRow="1" firstDataCol="0"/>
  <pivotFields>
    <pivotField name="Visi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atient 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Day of 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 of Vis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ppointment Type" compact="0" outline="0" multipleItemSelectionAllowed="1" showAll="0">
      <items>
        <item x="0"/>
        <item x="1"/>
        <item x="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isit Duration 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o Show Status" compact="0" outline="0" multipleItemSelectionAllowed="1" showAll="0">
      <items>
        <item x="0"/>
        <item x="1"/>
        <item t="default"/>
      </items>
    </pivotField>
    <pivotField name="Insurance Type" compact="0" outline="0" multipleItemSelectionAllowed="1" showAll="0">
      <items>
        <item x="0"/>
        <item x="1"/>
        <item x="2"/>
        <item x="3"/>
        <item t="default"/>
      </items>
    </pivotField>
    <pivotField name="Month " axis="axisRow" compact="0" outline="0" multipleItemSelectionAllowed="1" showAll="0" sortType="descending">
      <items>
        <item x="3"/>
        <item x="1"/>
        <item x="0"/>
        <item x="4"/>
        <item x="5"/>
        <item x="2"/>
        <item t="default"/>
      </items>
    </pivotField>
    <pivotField name="Week Day 1 #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0"/>
  </rowFields>
  <dataFields>
    <dataField name="COUNTA of Visit ID" fld="0" subtotal="count" baseField="0"/>
  </dataFields>
</pivotTableDefinition>
</file>

<file path=xl/pivotTables/pivotTable2.xml><?xml version="1.0" encoding="utf-8"?>
<pivotTableDefinition xmlns="http://schemas.openxmlformats.org/spreadsheetml/2006/main" name="Pivot Table 2 — Peak Visit Time" cacheId="0" dataCaption="" compact="0" compactData="0">
  <location ref="A1:B11" firstHeaderRow="0" firstDataRow="1" firstDataCol="0"/>
  <pivotFields>
    <pivotField name="Visi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atient 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Day of 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 of Visit" axis="axisRow" compact="0" numFmtId="165" outline="0" multipleItemSelectionAllowed="1" showAll="0" sortType="ascending">
      <items>
        <item x="3"/>
        <item x="6"/>
        <item x="7"/>
        <item x="2"/>
        <item x="5"/>
        <item x="0"/>
        <item x="8"/>
        <item x="4"/>
        <item x="1"/>
        <item t="default"/>
      </items>
    </pivotField>
    <pivotField name="Appointment Type" compact="0" outline="0" multipleItemSelectionAllowed="1" showAll="0">
      <items>
        <item x="0"/>
        <item x="1"/>
        <item x="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isit Duration 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o Show Status" compact="0" outline="0" multipleItemSelectionAllowed="1" showAll="0">
      <items>
        <item x="0"/>
        <item x="1"/>
        <item t="default"/>
      </items>
    </pivotField>
    <pivotField name="Insurance Type" compact="0" outline="0" multipleItemSelectionAllowed="1" showAll="0">
      <items>
        <item x="0"/>
        <item x="1"/>
        <item x="2"/>
        <item x="3"/>
        <item t="default"/>
      </items>
    </pivotField>
    <pivotField name="Month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eek Day 1 #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4"/>
  </rowFields>
  <dataFields>
    <dataField name="COUNT of Visit ID" fld="0" subtotal="countNums" baseField="0"/>
  </dataFields>
</pivotTableDefinition>
</file>

<file path=xl/pivotTables/pivotTable3.xml><?xml version="1.0" encoding="utf-8"?>
<pivotTableDefinition xmlns="http://schemas.openxmlformats.org/spreadsheetml/2006/main" name="Pivot Table 3 — No Show Rate by" cacheId="0" dataCaption="" compact="0" compactData="0">
  <location ref="A1:D9" firstHeaderRow="0" firstDataRow="1" firstDataCol="1"/>
  <pivotFields>
    <pivotField name="Visi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atient 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Day of 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 of Vis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ppointment Type" compact="0" outline="0" multipleItemSelectionAllowed="1" showAll="0">
      <items>
        <item x="0"/>
        <item x="1"/>
        <item x="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isit Duration 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o Show Status" axis="axisCol" compact="0" outline="0" multipleItemSelectionAllowed="1" showAll="0" sortType="ascending">
      <items>
        <item x="1"/>
        <item x="0"/>
        <item t="default"/>
      </items>
    </pivotField>
    <pivotField name="Insurance Type" compact="0" outline="0" multipleItemSelectionAllowed="1" showAll="0">
      <items>
        <item x="0"/>
        <item x="1"/>
        <item x="2"/>
        <item x="3"/>
        <item t="default"/>
      </items>
    </pivotField>
    <pivotField name="Month " axis="axisRow" compact="0" outline="0" multipleItemSelectionAllowed="1" showAll="0" sortType="ascending">
      <items>
        <item x="2"/>
        <item x="5"/>
        <item x="4"/>
        <item x="0"/>
        <item x="1"/>
        <item x="3"/>
        <item t="default"/>
      </items>
    </pivotField>
    <pivotField name="Week Day 1 #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0"/>
  </rowFields>
  <colFields>
    <field x="8"/>
  </colFields>
  <dataFields>
    <dataField name="COUNTA of Visit ID" fld="0" subtotal="count" baseField="0"/>
  </dataFields>
</pivotTableDefinition>
</file>

<file path=xl/pivotTables/pivotTable4.xml><?xml version="1.0" encoding="utf-8"?>
<pivotTableDefinition xmlns="http://schemas.openxmlformats.org/spreadsheetml/2006/main" name="Pivot Table 4 — Department Util" cacheId="1" dataCaption="" compact="0" compactData="0">
  <location ref="A1:B3" firstHeaderRow="0" firstDataRow="1" firstDataCol="0"/>
  <pivotFields>
    <pivotField name="COUNTA of Visi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o Show 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axis="axisRow" compact="0" outline="0" multipleItemSelectionAllowed="1" showAll="0" sortType="ascending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6"/>
  </rowFields>
  <dataFields>
    <dataField name="COUNT of COUNTA of Visit ID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5" max="5" width="10.88"/>
    <col customWidth="1" min="6" max="6" width="15.38"/>
    <col customWidth="1" min="8" max="8" width="19.25"/>
    <col customWidth="1" min="9" max="9" width="16.0"/>
    <col customWidth="1" min="10" max="10" width="13.38"/>
    <col customWidth="1" min="11" max="11" width="10.25"/>
    <col customWidth="1" min="12" max="12" width="14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6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 t="s">
        <v>12</v>
      </c>
      <c r="B2" s="7">
        <v>78.0</v>
      </c>
      <c r="C2" s="8">
        <v>46130.0</v>
      </c>
      <c r="D2" s="7" t="s">
        <v>13</v>
      </c>
      <c r="E2" s="9">
        <v>0.5625</v>
      </c>
      <c r="F2" s="4" t="s">
        <v>14</v>
      </c>
      <c r="G2" s="7" t="s">
        <v>15</v>
      </c>
      <c r="H2" s="7">
        <v>30.0</v>
      </c>
      <c r="I2" s="7" t="s">
        <v>16</v>
      </c>
      <c r="J2" s="4" t="s">
        <v>17</v>
      </c>
      <c r="K2" s="10">
        <f t="shared" ref="K2:K181" si="1">MONTH(C2)
</f>
        <v>4</v>
      </c>
      <c r="L2" s="10">
        <f t="shared" ref="L2:L181" si="2">WEEKDAY(C2, 2)
</f>
        <v>6</v>
      </c>
    </row>
    <row r="3">
      <c r="A3" s="7" t="s">
        <v>18</v>
      </c>
      <c r="B3" s="7">
        <v>46.0</v>
      </c>
      <c r="C3" s="8">
        <v>46160.0</v>
      </c>
      <c r="D3" s="7" t="s">
        <v>19</v>
      </c>
      <c r="E3" s="9">
        <v>0.7291666666666666</v>
      </c>
      <c r="F3" s="4" t="s">
        <v>20</v>
      </c>
      <c r="G3" s="7" t="s">
        <v>15</v>
      </c>
      <c r="H3" s="7">
        <v>50.0</v>
      </c>
      <c r="I3" s="7" t="s">
        <v>21</v>
      </c>
      <c r="J3" s="4" t="s">
        <v>22</v>
      </c>
      <c r="K3" s="10">
        <f t="shared" si="1"/>
        <v>5</v>
      </c>
      <c r="L3" s="10">
        <f t="shared" si="2"/>
        <v>1</v>
      </c>
    </row>
    <row r="4">
      <c r="A4" s="7" t="s">
        <v>23</v>
      </c>
      <c r="B4" s="7">
        <v>18.0</v>
      </c>
      <c r="C4" s="8">
        <v>46047.0</v>
      </c>
      <c r="D4" s="7" t="s">
        <v>24</v>
      </c>
      <c r="E4" s="9">
        <v>0.5416666666666666</v>
      </c>
      <c r="F4" s="4" t="s">
        <v>20</v>
      </c>
      <c r="G4" s="7" t="s">
        <v>25</v>
      </c>
      <c r="H4" s="7">
        <v>20.0</v>
      </c>
      <c r="I4" s="7" t="s">
        <v>21</v>
      </c>
      <c r="J4" s="4" t="s">
        <v>17</v>
      </c>
      <c r="K4" s="10">
        <f t="shared" si="1"/>
        <v>1</v>
      </c>
      <c r="L4" s="10">
        <f t="shared" si="2"/>
        <v>7</v>
      </c>
    </row>
    <row r="5">
      <c r="A5" s="7" t="s">
        <v>26</v>
      </c>
      <c r="B5" s="7">
        <v>18.0</v>
      </c>
      <c r="C5" s="8">
        <v>46116.0</v>
      </c>
      <c r="D5" s="7" t="s">
        <v>13</v>
      </c>
      <c r="E5" s="9">
        <v>0.375</v>
      </c>
      <c r="F5" s="4" t="s">
        <v>14</v>
      </c>
      <c r="G5" s="7" t="s">
        <v>27</v>
      </c>
      <c r="H5" s="7">
        <v>35.0</v>
      </c>
      <c r="I5" s="7" t="s">
        <v>21</v>
      </c>
      <c r="J5" s="4" t="s">
        <v>22</v>
      </c>
      <c r="K5" s="10">
        <f t="shared" si="1"/>
        <v>4</v>
      </c>
      <c r="L5" s="10">
        <f t="shared" si="2"/>
        <v>6</v>
      </c>
    </row>
    <row r="6">
      <c r="A6" s="7" t="s">
        <v>28</v>
      </c>
      <c r="B6" s="7">
        <v>63.0</v>
      </c>
      <c r="C6" s="8">
        <v>46174.0</v>
      </c>
      <c r="D6" s="7" t="s">
        <v>19</v>
      </c>
      <c r="E6" s="9">
        <v>0.7291666666666666</v>
      </c>
      <c r="F6" s="4" t="s">
        <v>29</v>
      </c>
      <c r="G6" s="7" t="s">
        <v>30</v>
      </c>
      <c r="H6" s="7">
        <v>20.0</v>
      </c>
      <c r="I6" s="7" t="s">
        <v>16</v>
      </c>
      <c r="J6" s="4" t="s">
        <v>31</v>
      </c>
      <c r="K6" s="10">
        <f t="shared" si="1"/>
        <v>6</v>
      </c>
      <c r="L6" s="10">
        <f t="shared" si="2"/>
        <v>1</v>
      </c>
    </row>
    <row r="7">
      <c r="A7" s="7" t="s">
        <v>32</v>
      </c>
      <c r="B7" s="7">
        <v>73.0</v>
      </c>
      <c r="C7" s="8">
        <v>46087.0</v>
      </c>
      <c r="D7" s="7" t="s">
        <v>33</v>
      </c>
      <c r="E7" s="9">
        <v>0.71875</v>
      </c>
      <c r="F7" s="4" t="s">
        <v>29</v>
      </c>
      <c r="G7" s="7" t="s">
        <v>15</v>
      </c>
      <c r="H7" s="7">
        <v>20.0</v>
      </c>
      <c r="I7" s="7" t="s">
        <v>21</v>
      </c>
      <c r="J7" s="4" t="s">
        <v>22</v>
      </c>
      <c r="K7" s="10">
        <f t="shared" si="1"/>
        <v>3</v>
      </c>
      <c r="L7" s="10">
        <f t="shared" si="2"/>
        <v>5</v>
      </c>
    </row>
    <row r="8">
      <c r="A8" s="7" t="s">
        <v>34</v>
      </c>
      <c r="B8" s="7">
        <v>69.0</v>
      </c>
      <c r="C8" s="8">
        <v>46146.0</v>
      </c>
      <c r="D8" s="7" t="s">
        <v>19</v>
      </c>
      <c r="E8" s="9">
        <v>0.5520833333333334</v>
      </c>
      <c r="F8" s="4" t="s">
        <v>20</v>
      </c>
      <c r="G8" s="7" t="s">
        <v>35</v>
      </c>
      <c r="H8" s="7">
        <v>35.0</v>
      </c>
      <c r="I8" s="7" t="s">
        <v>21</v>
      </c>
      <c r="J8" s="4" t="s">
        <v>36</v>
      </c>
      <c r="K8" s="10">
        <f t="shared" si="1"/>
        <v>5</v>
      </c>
      <c r="L8" s="10">
        <f t="shared" si="2"/>
        <v>1</v>
      </c>
    </row>
    <row r="9">
      <c r="A9" s="7" t="s">
        <v>37</v>
      </c>
      <c r="B9" s="7">
        <v>24.0</v>
      </c>
      <c r="C9" s="8">
        <v>46191.0</v>
      </c>
      <c r="D9" s="7" t="s">
        <v>38</v>
      </c>
      <c r="E9" s="9">
        <v>0.3854166666666667</v>
      </c>
      <c r="F9" s="4" t="s">
        <v>20</v>
      </c>
      <c r="G9" s="7" t="s">
        <v>39</v>
      </c>
      <c r="H9" s="7">
        <v>45.0</v>
      </c>
      <c r="I9" s="7" t="s">
        <v>16</v>
      </c>
      <c r="J9" s="4" t="s">
        <v>36</v>
      </c>
      <c r="K9" s="10">
        <f t="shared" si="1"/>
        <v>6</v>
      </c>
      <c r="L9" s="10">
        <f t="shared" si="2"/>
        <v>4</v>
      </c>
    </row>
    <row r="10">
      <c r="A10" s="7" t="s">
        <v>40</v>
      </c>
      <c r="B10" s="7">
        <v>34.0</v>
      </c>
      <c r="C10" s="8">
        <v>46136.0</v>
      </c>
      <c r="D10" s="7" t="s">
        <v>33</v>
      </c>
      <c r="E10" s="9">
        <v>0.3958333333333333</v>
      </c>
      <c r="F10" s="4" t="s">
        <v>20</v>
      </c>
      <c r="G10" s="7" t="s">
        <v>30</v>
      </c>
      <c r="H10" s="7">
        <v>50.0</v>
      </c>
      <c r="I10" s="7" t="s">
        <v>21</v>
      </c>
      <c r="J10" s="4" t="s">
        <v>31</v>
      </c>
      <c r="K10" s="10">
        <f t="shared" si="1"/>
        <v>4</v>
      </c>
      <c r="L10" s="10">
        <f t="shared" si="2"/>
        <v>5</v>
      </c>
    </row>
    <row r="11">
      <c r="A11" s="7" t="s">
        <v>41</v>
      </c>
      <c r="B11" s="7">
        <v>71.0</v>
      </c>
      <c r="C11" s="8">
        <v>46031.0</v>
      </c>
      <c r="D11" s="7" t="s">
        <v>33</v>
      </c>
      <c r="E11" s="9">
        <v>0.3958333333333333</v>
      </c>
      <c r="F11" s="4" t="s">
        <v>20</v>
      </c>
      <c r="G11" s="7" t="s">
        <v>27</v>
      </c>
      <c r="H11" s="7">
        <v>40.0</v>
      </c>
      <c r="I11" s="7" t="s">
        <v>21</v>
      </c>
      <c r="J11" s="4" t="s">
        <v>36</v>
      </c>
      <c r="K11" s="10">
        <f t="shared" si="1"/>
        <v>1</v>
      </c>
      <c r="L11" s="10">
        <f t="shared" si="2"/>
        <v>5</v>
      </c>
    </row>
    <row r="12">
      <c r="A12" s="7" t="s">
        <v>42</v>
      </c>
      <c r="B12" s="7">
        <v>27.0</v>
      </c>
      <c r="C12" s="8">
        <v>46042.0</v>
      </c>
      <c r="D12" s="7" t="s">
        <v>43</v>
      </c>
      <c r="E12" s="9">
        <v>0.5520833333333334</v>
      </c>
      <c r="F12" s="4" t="s">
        <v>14</v>
      </c>
      <c r="G12" s="7" t="s">
        <v>44</v>
      </c>
      <c r="H12" s="7">
        <v>50.0</v>
      </c>
      <c r="I12" s="7" t="s">
        <v>21</v>
      </c>
      <c r="J12" s="4" t="s">
        <v>17</v>
      </c>
      <c r="K12" s="10">
        <f t="shared" si="1"/>
        <v>1</v>
      </c>
      <c r="L12" s="10">
        <f t="shared" si="2"/>
        <v>2</v>
      </c>
    </row>
    <row r="13">
      <c r="A13" s="7" t="s">
        <v>45</v>
      </c>
      <c r="B13" s="7">
        <v>68.0</v>
      </c>
      <c r="C13" s="8">
        <v>46159.0</v>
      </c>
      <c r="D13" s="7" t="s">
        <v>24</v>
      </c>
      <c r="E13" s="9">
        <v>0.5416666666666666</v>
      </c>
      <c r="F13" s="4" t="s">
        <v>20</v>
      </c>
      <c r="G13" s="7" t="s">
        <v>30</v>
      </c>
      <c r="H13" s="7">
        <v>30.0</v>
      </c>
      <c r="I13" s="7" t="s">
        <v>21</v>
      </c>
      <c r="J13" s="4" t="s">
        <v>36</v>
      </c>
      <c r="K13" s="10">
        <f t="shared" si="1"/>
        <v>5</v>
      </c>
      <c r="L13" s="10">
        <f t="shared" si="2"/>
        <v>7</v>
      </c>
    </row>
    <row r="14">
      <c r="A14" s="7" t="s">
        <v>46</v>
      </c>
      <c r="B14" s="7">
        <v>38.0</v>
      </c>
      <c r="C14" s="8">
        <v>46117.0</v>
      </c>
      <c r="D14" s="7" t="s">
        <v>24</v>
      </c>
      <c r="E14" s="9">
        <v>0.3958333333333333</v>
      </c>
      <c r="F14" s="4" t="s">
        <v>29</v>
      </c>
      <c r="G14" s="7" t="s">
        <v>44</v>
      </c>
      <c r="H14" s="7">
        <v>45.0</v>
      </c>
      <c r="I14" s="7" t="s">
        <v>21</v>
      </c>
      <c r="J14" s="4" t="s">
        <v>22</v>
      </c>
      <c r="K14" s="10">
        <f t="shared" si="1"/>
        <v>4</v>
      </c>
      <c r="L14" s="10">
        <f t="shared" si="2"/>
        <v>7</v>
      </c>
    </row>
    <row r="15">
      <c r="A15" s="7" t="s">
        <v>47</v>
      </c>
      <c r="B15" s="7">
        <v>33.0</v>
      </c>
      <c r="C15" s="8">
        <v>46070.0</v>
      </c>
      <c r="D15" s="7" t="s">
        <v>43</v>
      </c>
      <c r="E15" s="9">
        <v>0.5416666666666666</v>
      </c>
      <c r="F15" s="4" t="s">
        <v>14</v>
      </c>
      <c r="G15" s="7" t="s">
        <v>25</v>
      </c>
      <c r="H15" s="7">
        <v>20.0</v>
      </c>
      <c r="I15" s="7" t="s">
        <v>21</v>
      </c>
      <c r="J15" s="4" t="s">
        <v>17</v>
      </c>
      <c r="K15" s="10">
        <f t="shared" si="1"/>
        <v>2</v>
      </c>
      <c r="L15" s="10">
        <f t="shared" si="2"/>
        <v>2</v>
      </c>
    </row>
    <row r="16">
      <c r="A16" s="7" t="s">
        <v>48</v>
      </c>
      <c r="B16" s="7">
        <v>42.0</v>
      </c>
      <c r="C16" s="8">
        <v>46173.0</v>
      </c>
      <c r="D16" s="7" t="s">
        <v>24</v>
      </c>
      <c r="E16" s="9">
        <v>0.3854166666666667</v>
      </c>
      <c r="F16" s="4" t="s">
        <v>14</v>
      </c>
      <c r="G16" s="7" t="s">
        <v>25</v>
      </c>
      <c r="H16" s="7">
        <v>45.0</v>
      </c>
      <c r="I16" s="7" t="s">
        <v>21</v>
      </c>
      <c r="J16" s="4" t="s">
        <v>22</v>
      </c>
      <c r="K16" s="10">
        <f t="shared" si="1"/>
        <v>5</v>
      </c>
      <c r="L16" s="10">
        <f t="shared" si="2"/>
        <v>7</v>
      </c>
    </row>
    <row r="17">
      <c r="A17" s="7" t="s">
        <v>49</v>
      </c>
      <c r="B17" s="7">
        <v>57.0</v>
      </c>
      <c r="C17" s="8">
        <v>46120.0</v>
      </c>
      <c r="D17" s="7" t="s">
        <v>50</v>
      </c>
      <c r="E17" s="9">
        <v>0.7291666666666666</v>
      </c>
      <c r="F17" s="4" t="s">
        <v>14</v>
      </c>
      <c r="G17" s="7" t="s">
        <v>44</v>
      </c>
      <c r="H17" s="7">
        <v>35.0</v>
      </c>
      <c r="I17" s="7" t="s">
        <v>21</v>
      </c>
      <c r="J17" s="4" t="s">
        <v>17</v>
      </c>
      <c r="K17" s="10">
        <f t="shared" si="1"/>
        <v>4</v>
      </c>
      <c r="L17" s="10">
        <f t="shared" si="2"/>
        <v>3</v>
      </c>
    </row>
    <row r="18">
      <c r="A18" s="7" t="s">
        <v>51</v>
      </c>
      <c r="B18" s="7">
        <v>69.0</v>
      </c>
      <c r="C18" s="8">
        <v>46041.0</v>
      </c>
      <c r="D18" s="7" t="s">
        <v>19</v>
      </c>
      <c r="E18" s="9">
        <v>0.71875</v>
      </c>
      <c r="F18" s="4" t="s">
        <v>14</v>
      </c>
      <c r="G18" s="7" t="s">
        <v>39</v>
      </c>
      <c r="H18" s="7">
        <v>20.0</v>
      </c>
      <c r="I18" s="7" t="s">
        <v>21</v>
      </c>
      <c r="J18" s="4" t="s">
        <v>22</v>
      </c>
      <c r="K18" s="10">
        <f t="shared" si="1"/>
        <v>1</v>
      </c>
      <c r="L18" s="10">
        <f t="shared" si="2"/>
        <v>1</v>
      </c>
    </row>
    <row r="19">
      <c r="A19" s="7" t="s">
        <v>52</v>
      </c>
      <c r="B19" s="7">
        <v>39.0</v>
      </c>
      <c r="C19" s="8">
        <v>46031.0</v>
      </c>
      <c r="D19" s="7" t="s">
        <v>33</v>
      </c>
      <c r="E19" s="9">
        <v>0.5625</v>
      </c>
      <c r="F19" s="4" t="s">
        <v>20</v>
      </c>
      <c r="G19" s="7" t="s">
        <v>15</v>
      </c>
      <c r="H19" s="7">
        <v>40.0</v>
      </c>
      <c r="I19" s="7" t="s">
        <v>21</v>
      </c>
      <c r="J19" s="4" t="s">
        <v>17</v>
      </c>
      <c r="K19" s="10">
        <f t="shared" si="1"/>
        <v>1</v>
      </c>
      <c r="L19" s="10">
        <f t="shared" si="2"/>
        <v>5</v>
      </c>
    </row>
    <row r="20">
      <c r="A20" s="7" t="s">
        <v>53</v>
      </c>
      <c r="B20" s="7">
        <v>31.0</v>
      </c>
      <c r="C20" s="8">
        <v>46153.0</v>
      </c>
      <c r="D20" s="7" t="s">
        <v>19</v>
      </c>
      <c r="E20" s="9">
        <v>0.5625</v>
      </c>
      <c r="F20" s="4" t="s">
        <v>29</v>
      </c>
      <c r="G20" s="7" t="s">
        <v>30</v>
      </c>
      <c r="H20" s="7">
        <v>35.0</v>
      </c>
      <c r="I20" s="7" t="s">
        <v>21</v>
      </c>
      <c r="J20" s="4" t="s">
        <v>22</v>
      </c>
      <c r="K20" s="10">
        <f t="shared" si="1"/>
        <v>5</v>
      </c>
      <c r="L20" s="10">
        <f t="shared" si="2"/>
        <v>1</v>
      </c>
    </row>
    <row r="21">
      <c r="A21" s="7" t="s">
        <v>54</v>
      </c>
      <c r="B21" s="7">
        <v>21.0</v>
      </c>
      <c r="C21" s="8">
        <v>46030.0</v>
      </c>
      <c r="D21" s="7" t="s">
        <v>38</v>
      </c>
      <c r="E21" s="9">
        <v>0.7291666666666666</v>
      </c>
      <c r="F21" s="4" t="s">
        <v>29</v>
      </c>
      <c r="G21" s="7" t="s">
        <v>39</v>
      </c>
      <c r="H21" s="7">
        <v>25.0</v>
      </c>
      <c r="I21" s="7" t="s">
        <v>21</v>
      </c>
      <c r="J21" s="4" t="s">
        <v>31</v>
      </c>
      <c r="K21" s="10">
        <f t="shared" si="1"/>
        <v>1</v>
      </c>
      <c r="L21" s="10">
        <f t="shared" si="2"/>
        <v>4</v>
      </c>
    </row>
    <row r="22">
      <c r="A22" s="7" t="s">
        <v>55</v>
      </c>
      <c r="B22" s="7">
        <v>61.0</v>
      </c>
      <c r="C22" s="8">
        <v>46136.0</v>
      </c>
      <c r="D22" s="7" t="s">
        <v>33</v>
      </c>
      <c r="E22" s="9">
        <v>0.7291666666666666</v>
      </c>
      <c r="F22" s="4" t="s">
        <v>20</v>
      </c>
      <c r="G22" s="7" t="s">
        <v>39</v>
      </c>
      <c r="H22" s="7">
        <v>40.0</v>
      </c>
      <c r="I22" s="7" t="s">
        <v>21</v>
      </c>
      <c r="J22" s="4" t="s">
        <v>36</v>
      </c>
      <c r="K22" s="10">
        <f t="shared" si="1"/>
        <v>4</v>
      </c>
      <c r="L22" s="10">
        <f t="shared" si="2"/>
        <v>5</v>
      </c>
    </row>
    <row r="23">
      <c r="A23" s="7" t="s">
        <v>56</v>
      </c>
      <c r="B23" s="7">
        <v>55.0</v>
      </c>
      <c r="C23" s="8">
        <v>46041.0</v>
      </c>
      <c r="D23" s="7" t="s">
        <v>19</v>
      </c>
      <c r="E23" s="9">
        <v>0.3958333333333333</v>
      </c>
      <c r="F23" s="4" t="s">
        <v>29</v>
      </c>
      <c r="G23" s="7" t="s">
        <v>39</v>
      </c>
      <c r="H23" s="7">
        <v>25.0</v>
      </c>
      <c r="I23" s="7" t="s">
        <v>21</v>
      </c>
      <c r="J23" s="4" t="s">
        <v>36</v>
      </c>
      <c r="K23" s="10">
        <f t="shared" si="1"/>
        <v>1</v>
      </c>
      <c r="L23" s="10">
        <f t="shared" si="2"/>
        <v>1</v>
      </c>
    </row>
    <row r="24">
      <c r="A24" s="7" t="s">
        <v>57</v>
      </c>
      <c r="B24" s="7">
        <v>34.0</v>
      </c>
      <c r="C24" s="8">
        <v>46059.0</v>
      </c>
      <c r="D24" s="7" t="s">
        <v>33</v>
      </c>
      <c r="E24" s="9">
        <v>0.5520833333333334</v>
      </c>
      <c r="F24" s="4" t="s">
        <v>20</v>
      </c>
      <c r="G24" s="7" t="s">
        <v>58</v>
      </c>
      <c r="H24" s="7">
        <v>35.0</v>
      </c>
      <c r="I24" s="7" t="s">
        <v>21</v>
      </c>
      <c r="J24" s="4" t="s">
        <v>17</v>
      </c>
      <c r="K24" s="10">
        <f t="shared" si="1"/>
        <v>2</v>
      </c>
      <c r="L24" s="10">
        <f t="shared" si="2"/>
        <v>5</v>
      </c>
    </row>
    <row r="25">
      <c r="A25" s="7" t="s">
        <v>59</v>
      </c>
      <c r="B25" s="7">
        <v>72.0</v>
      </c>
      <c r="C25" s="8">
        <v>46054.0</v>
      </c>
      <c r="D25" s="7" t="s">
        <v>24</v>
      </c>
      <c r="E25" s="9">
        <v>0.71875</v>
      </c>
      <c r="F25" s="4" t="s">
        <v>29</v>
      </c>
      <c r="G25" s="7" t="s">
        <v>15</v>
      </c>
      <c r="H25" s="7">
        <v>35.0</v>
      </c>
      <c r="I25" s="7" t="s">
        <v>21</v>
      </c>
      <c r="J25" s="4" t="s">
        <v>31</v>
      </c>
      <c r="K25" s="10">
        <f t="shared" si="1"/>
        <v>2</v>
      </c>
      <c r="L25" s="10">
        <f t="shared" si="2"/>
        <v>7</v>
      </c>
    </row>
    <row r="26">
      <c r="A26" s="7" t="s">
        <v>60</v>
      </c>
      <c r="B26" s="7">
        <v>37.0</v>
      </c>
      <c r="C26" s="8">
        <v>46045.0</v>
      </c>
      <c r="D26" s="7" t="s">
        <v>33</v>
      </c>
      <c r="E26" s="9">
        <v>0.7291666666666666</v>
      </c>
      <c r="F26" s="4" t="s">
        <v>14</v>
      </c>
      <c r="G26" s="7" t="s">
        <v>44</v>
      </c>
      <c r="H26" s="7">
        <v>25.0</v>
      </c>
      <c r="I26" s="7" t="s">
        <v>21</v>
      </c>
      <c r="J26" s="4" t="s">
        <v>17</v>
      </c>
      <c r="K26" s="10">
        <f t="shared" si="1"/>
        <v>1</v>
      </c>
      <c r="L26" s="10">
        <f t="shared" si="2"/>
        <v>5</v>
      </c>
    </row>
    <row r="27">
      <c r="A27" s="7" t="s">
        <v>61</v>
      </c>
      <c r="B27" s="7">
        <v>19.0</v>
      </c>
      <c r="C27" s="8">
        <v>46063.0</v>
      </c>
      <c r="D27" s="7" t="s">
        <v>43</v>
      </c>
      <c r="E27" s="9">
        <v>0.5625</v>
      </c>
      <c r="F27" s="4" t="s">
        <v>14</v>
      </c>
      <c r="G27" s="7" t="s">
        <v>15</v>
      </c>
      <c r="H27" s="7">
        <v>20.0</v>
      </c>
      <c r="I27" s="7" t="s">
        <v>21</v>
      </c>
      <c r="J27" s="4" t="s">
        <v>36</v>
      </c>
      <c r="K27" s="10">
        <f t="shared" si="1"/>
        <v>2</v>
      </c>
      <c r="L27" s="10">
        <f t="shared" si="2"/>
        <v>2</v>
      </c>
    </row>
    <row r="28">
      <c r="A28" s="7" t="s">
        <v>62</v>
      </c>
      <c r="B28" s="7">
        <v>47.0</v>
      </c>
      <c r="C28" s="8">
        <v>46114.0</v>
      </c>
      <c r="D28" s="7" t="s">
        <v>38</v>
      </c>
      <c r="E28" s="9">
        <v>0.5625</v>
      </c>
      <c r="F28" s="4" t="s">
        <v>14</v>
      </c>
      <c r="G28" s="7" t="s">
        <v>15</v>
      </c>
      <c r="H28" s="7">
        <v>35.0</v>
      </c>
      <c r="I28" s="7" t="s">
        <v>21</v>
      </c>
      <c r="J28" s="4" t="s">
        <v>17</v>
      </c>
      <c r="K28" s="10">
        <f t="shared" si="1"/>
        <v>4</v>
      </c>
      <c r="L28" s="10">
        <f t="shared" si="2"/>
        <v>4</v>
      </c>
    </row>
    <row r="29">
      <c r="A29" s="7" t="s">
        <v>63</v>
      </c>
      <c r="B29" s="7">
        <v>72.0</v>
      </c>
      <c r="C29" s="8">
        <v>46035.0</v>
      </c>
      <c r="D29" s="7" t="s">
        <v>43</v>
      </c>
      <c r="E29" s="9">
        <v>0.7083333333333334</v>
      </c>
      <c r="F29" s="4" t="s">
        <v>29</v>
      </c>
      <c r="G29" s="7" t="s">
        <v>35</v>
      </c>
      <c r="H29" s="7">
        <v>20.0</v>
      </c>
      <c r="I29" s="7" t="s">
        <v>21</v>
      </c>
      <c r="J29" s="4" t="s">
        <v>31</v>
      </c>
      <c r="K29" s="10">
        <f t="shared" si="1"/>
        <v>1</v>
      </c>
      <c r="L29" s="10">
        <f t="shared" si="2"/>
        <v>2</v>
      </c>
    </row>
    <row r="30">
      <c r="A30" s="7" t="s">
        <v>64</v>
      </c>
      <c r="B30" s="7">
        <v>71.0</v>
      </c>
      <c r="C30" s="8">
        <v>46180.0</v>
      </c>
      <c r="D30" s="7" t="s">
        <v>24</v>
      </c>
      <c r="E30" s="9">
        <v>0.3854166666666667</v>
      </c>
      <c r="F30" s="4" t="s">
        <v>14</v>
      </c>
      <c r="G30" s="7" t="s">
        <v>15</v>
      </c>
      <c r="H30" s="7">
        <v>30.0</v>
      </c>
      <c r="I30" s="7" t="s">
        <v>21</v>
      </c>
      <c r="J30" s="4" t="s">
        <v>36</v>
      </c>
      <c r="K30" s="10">
        <f t="shared" si="1"/>
        <v>6</v>
      </c>
      <c r="L30" s="10">
        <f t="shared" si="2"/>
        <v>7</v>
      </c>
    </row>
    <row r="31">
      <c r="A31" s="7" t="s">
        <v>65</v>
      </c>
      <c r="B31" s="7">
        <v>73.0</v>
      </c>
      <c r="C31" s="8">
        <v>46148.0</v>
      </c>
      <c r="D31" s="7" t="s">
        <v>50</v>
      </c>
      <c r="E31" s="9">
        <v>0.7291666666666666</v>
      </c>
      <c r="F31" s="4" t="s">
        <v>14</v>
      </c>
      <c r="G31" s="7" t="s">
        <v>25</v>
      </c>
      <c r="H31" s="7">
        <v>60.0</v>
      </c>
      <c r="I31" s="7" t="s">
        <v>21</v>
      </c>
      <c r="J31" s="4" t="s">
        <v>36</v>
      </c>
      <c r="K31" s="10">
        <f t="shared" si="1"/>
        <v>5</v>
      </c>
      <c r="L31" s="10">
        <f t="shared" si="2"/>
        <v>3</v>
      </c>
    </row>
    <row r="32">
      <c r="A32" s="7" t="s">
        <v>66</v>
      </c>
      <c r="B32" s="7">
        <v>36.0</v>
      </c>
      <c r="C32" s="8">
        <v>46075.0</v>
      </c>
      <c r="D32" s="7" t="s">
        <v>24</v>
      </c>
      <c r="E32" s="9">
        <v>0.3854166666666667</v>
      </c>
      <c r="F32" s="4" t="s">
        <v>20</v>
      </c>
      <c r="G32" s="7" t="s">
        <v>27</v>
      </c>
      <c r="H32" s="7">
        <v>20.0</v>
      </c>
      <c r="I32" s="7" t="s">
        <v>21</v>
      </c>
      <c r="J32" s="4" t="s">
        <v>31</v>
      </c>
      <c r="K32" s="10">
        <f t="shared" si="1"/>
        <v>2</v>
      </c>
      <c r="L32" s="10">
        <f t="shared" si="2"/>
        <v>7</v>
      </c>
    </row>
    <row r="33">
      <c r="A33" s="7" t="s">
        <v>67</v>
      </c>
      <c r="B33" s="7">
        <v>43.0</v>
      </c>
      <c r="C33" s="8">
        <v>46198.0</v>
      </c>
      <c r="D33" s="7" t="s">
        <v>38</v>
      </c>
      <c r="E33" s="9">
        <v>0.7083333333333334</v>
      </c>
      <c r="F33" s="4" t="s">
        <v>29</v>
      </c>
      <c r="G33" s="7" t="s">
        <v>44</v>
      </c>
      <c r="H33" s="7">
        <v>15.0</v>
      </c>
      <c r="I33" s="7" t="s">
        <v>21</v>
      </c>
      <c r="J33" s="4" t="s">
        <v>31</v>
      </c>
      <c r="K33" s="10">
        <f t="shared" si="1"/>
        <v>6</v>
      </c>
      <c r="L33" s="10">
        <f t="shared" si="2"/>
        <v>4</v>
      </c>
    </row>
    <row r="34">
      <c r="A34" s="7" t="s">
        <v>68</v>
      </c>
      <c r="B34" s="7">
        <v>18.0</v>
      </c>
      <c r="C34" s="8">
        <v>46198.0</v>
      </c>
      <c r="D34" s="7" t="s">
        <v>38</v>
      </c>
      <c r="E34" s="9">
        <v>0.3958333333333333</v>
      </c>
      <c r="F34" s="4" t="s">
        <v>20</v>
      </c>
      <c r="G34" s="7" t="s">
        <v>58</v>
      </c>
      <c r="H34" s="7">
        <v>45.0</v>
      </c>
      <c r="I34" s="7" t="s">
        <v>21</v>
      </c>
      <c r="J34" s="4" t="s">
        <v>31</v>
      </c>
      <c r="K34" s="10">
        <f t="shared" si="1"/>
        <v>6</v>
      </c>
      <c r="L34" s="10">
        <f t="shared" si="2"/>
        <v>4</v>
      </c>
    </row>
    <row r="35">
      <c r="A35" s="7" t="s">
        <v>69</v>
      </c>
      <c r="B35" s="7">
        <v>70.0</v>
      </c>
      <c r="C35" s="8">
        <v>46100.0</v>
      </c>
      <c r="D35" s="7" t="s">
        <v>38</v>
      </c>
      <c r="E35" s="9">
        <v>0.3958333333333333</v>
      </c>
      <c r="F35" s="4" t="s">
        <v>20</v>
      </c>
      <c r="G35" s="7" t="s">
        <v>35</v>
      </c>
      <c r="H35" s="7">
        <v>25.0</v>
      </c>
      <c r="I35" s="7" t="s">
        <v>21</v>
      </c>
      <c r="J35" s="4" t="s">
        <v>36</v>
      </c>
      <c r="K35" s="10">
        <f t="shared" si="1"/>
        <v>3</v>
      </c>
      <c r="L35" s="10">
        <f t="shared" si="2"/>
        <v>4</v>
      </c>
    </row>
    <row r="36">
      <c r="A36" s="7" t="s">
        <v>70</v>
      </c>
      <c r="B36" s="7">
        <v>50.0</v>
      </c>
      <c r="C36" s="8">
        <v>46118.0</v>
      </c>
      <c r="D36" s="7" t="s">
        <v>19</v>
      </c>
      <c r="E36" s="9">
        <v>0.71875</v>
      </c>
      <c r="F36" s="4" t="s">
        <v>14</v>
      </c>
      <c r="G36" s="7" t="s">
        <v>15</v>
      </c>
      <c r="H36" s="7">
        <v>25.0</v>
      </c>
      <c r="I36" s="7" t="s">
        <v>21</v>
      </c>
      <c r="J36" s="4" t="s">
        <v>31</v>
      </c>
      <c r="K36" s="10">
        <f t="shared" si="1"/>
        <v>4</v>
      </c>
      <c r="L36" s="10">
        <f t="shared" si="2"/>
        <v>1</v>
      </c>
    </row>
    <row r="37">
      <c r="A37" s="7" t="s">
        <v>71</v>
      </c>
      <c r="B37" s="7">
        <v>54.0</v>
      </c>
      <c r="C37" s="8">
        <v>46177.0</v>
      </c>
      <c r="D37" s="7" t="s">
        <v>38</v>
      </c>
      <c r="E37" s="9">
        <v>0.5416666666666666</v>
      </c>
      <c r="F37" s="4" t="s">
        <v>20</v>
      </c>
      <c r="G37" s="7" t="s">
        <v>30</v>
      </c>
      <c r="H37" s="7">
        <v>35.0</v>
      </c>
      <c r="I37" s="7" t="s">
        <v>21</v>
      </c>
      <c r="J37" s="4" t="s">
        <v>22</v>
      </c>
      <c r="K37" s="10">
        <f t="shared" si="1"/>
        <v>6</v>
      </c>
      <c r="L37" s="10">
        <f t="shared" si="2"/>
        <v>4</v>
      </c>
    </row>
    <row r="38">
      <c r="A38" s="7" t="s">
        <v>72</v>
      </c>
      <c r="B38" s="7">
        <v>51.0</v>
      </c>
      <c r="C38" s="8">
        <v>46173.0</v>
      </c>
      <c r="D38" s="7" t="s">
        <v>24</v>
      </c>
      <c r="E38" s="9">
        <v>0.3854166666666667</v>
      </c>
      <c r="F38" s="4" t="s">
        <v>20</v>
      </c>
      <c r="G38" s="7" t="s">
        <v>58</v>
      </c>
      <c r="H38" s="7">
        <v>30.0</v>
      </c>
      <c r="I38" s="7" t="s">
        <v>21</v>
      </c>
      <c r="J38" s="4" t="s">
        <v>22</v>
      </c>
      <c r="K38" s="10">
        <f t="shared" si="1"/>
        <v>5</v>
      </c>
      <c r="L38" s="10">
        <f t="shared" si="2"/>
        <v>7</v>
      </c>
    </row>
    <row r="39">
      <c r="A39" s="7" t="s">
        <v>73</v>
      </c>
      <c r="B39" s="7">
        <v>29.0</v>
      </c>
      <c r="C39" s="8">
        <v>46037.0</v>
      </c>
      <c r="D39" s="7" t="s">
        <v>38</v>
      </c>
      <c r="E39" s="9">
        <v>0.7291666666666666</v>
      </c>
      <c r="F39" s="4" t="s">
        <v>20</v>
      </c>
      <c r="G39" s="7" t="s">
        <v>58</v>
      </c>
      <c r="H39" s="7">
        <v>20.0</v>
      </c>
      <c r="I39" s="7" t="s">
        <v>21</v>
      </c>
      <c r="J39" s="4" t="s">
        <v>36</v>
      </c>
      <c r="K39" s="10">
        <f t="shared" si="1"/>
        <v>1</v>
      </c>
      <c r="L39" s="10">
        <f t="shared" si="2"/>
        <v>4</v>
      </c>
    </row>
    <row r="40">
      <c r="A40" s="7" t="s">
        <v>74</v>
      </c>
      <c r="B40" s="7">
        <v>66.0</v>
      </c>
      <c r="C40" s="8">
        <v>46183.0</v>
      </c>
      <c r="D40" s="7" t="s">
        <v>50</v>
      </c>
      <c r="E40" s="9">
        <v>0.5416666666666666</v>
      </c>
      <c r="F40" s="4" t="s">
        <v>14</v>
      </c>
      <c r="G40" s="7" t="s">
        <v>15</v>
      </c>
      <c r="H40" s="7">
        <v>40.0</v>
      </c>
      <c r="I40" s="7" t="s">
        <v>21</v>
      </c>
      <c r="J40" s="4" t="s">
        <v>17</v>
      </c>
      <c r="K40" s="10">
        <f t="shared" si="1"/>
        <v>6</v>
      </c>
      <c r="L40" s="10">
        <f t="shared" si="2"/>
        <v>3</v>
      </c>
    </row>
    <row r="41">
      <c r="A41" s="7" t="s">
        <v>75</v>
      </c>
      <c r="B41" s="7">
        <v>24.0</v>
      </c>
      <c r="C41" s="8">
        <v>46127.0</v>
      </c>
      <c r="D41" s="7" t="s">
        <v>50</v>
      </c>
      <c r="E41" s="9">
        <v>0.5416666666666666</v>
      </c>
      <c r="F41" s="4" t="s">
        <v>20</v>
      </c>
      <c r="G41" s="7" t="s">
        <v>27</v>
      </c>
      <c r="H41" s="7">
        <v>35.0</v>
      </c>
      <c r="I41" s="7" t="s">
        <v>16</v>
      </c>
      <c r="J41" s="4" t="s">
        <v>31</v>
      </c>
      <c r="K41" s="10">
        <f t="shared" si="1"/>
        <v>4</v>
      </c>
      <c r="L41" s="10">
        <f t="shared" si="2"/>
        <v>3</v>
      </c>
    </row>
    <row r="42">
      <c r="A42" s="7" t="s">
        <v>76</v>
      </c>
      <c r="B42" s="7">
        <v>60.0</v>
      </c>
      <c r="C42" s="8">
        <v>46180.0</v>
      </c>
      <c r="D42" s="7" t="s">
        <v>24</v>
      </c>
      <c r="E42" s="9">
        <v>0.71875</v>
      </c>
      <c r="F42" s="4" t="s">
        <v>29</v>
      </c>
      <c r="G42" s="7" t="s">
        <v>25</v>
      </c>
      <c r="H42" s="7">
        <v>60.0</v>
      </c>
      <c r="I42" s="7" t="s">
        <v>16</v>
      </c>
      <c r="J42" s="4" t="s">
        <v>36</v>
      </c>
      <c r="K42" s="10">
        <f t="shared" si="1"/>
        <v>6</v>
      </c>
      <c r="L42" s="10">
        <f t="shared" si="2"/>
        <v>7</v>
      </c>
    </row>
    <row r="43">
      <c r="A43" s="7" t="s">
        <v>77</v>
      </c>
      <c r="B43" s="7">
        <v>69.0</v>
      </c>
      <c r="C43" s="8">
        <v>46097.0</v>
      </c>
      <c r="D43" s="7" t="s">
        <v>19</v>
      </c>
      <c r="E43" s="9">
        <v>0.7083333333333334</v>
      </c>
      <c r="F43" s="4" t="s">
        <v>20</v>
      </c>
      <c r="G43" s="7" t="s">
        <v>39</v>
      </c>
      <c r="H43" s="7">
        <v>45.0</v>
      </c>
      <c r="I43" s="7" t="s">
        <v>21</v>
      </c>
      <c r="J43" s="4" t="s">
        <v>36</v>
      </c>
      <c r="K43" s="10">
        <f t="shared" si="1"/>
        <v>3</v>
      </c>
      <c r="L43" s="10">
        <f t="shared" si="2"/>
        <v>1</v>
      </c>
    </row>
    <row r="44">
      <c r="A44" s="7" t="s">
        <v>78</v>
      </c>
      <c r="B44" s="7">
        <v>52.0</v>
      </c>
      <c r="C44" s="8">
        <v>46174.0</v>
      </c>
      <c r="D44" s="7" t="s">
        <v>19</v>
      </c>
      <c r="E44" s="9">
        <v>0.375</v>
      </c>
      <c r="F44" s="4" t="s">
        <v>29</v>
      </c>
      <c r="G44" s="7" t="s">
        <v>58</v>
      </c>
      <c r="H44" s="7">
        <v>50.0</v>
      </c>
      <c r="I44" s="7" t="s">
        <v>21</v>
      </c>
      <c r="J44" s="4" t="s">
        <v>22</v>
      </c>
      <c r="K44" s="10">
        <f t="shared" si="1"/>
        <v>6</v>
      </c>
      <c r="L44" s="10">
        <f t="shared" si="2"/>
        <v>1</v>
      </c>
    </row>
    <row r="45">
      <c r="A45" s="7" t="s">
        <v>79</v>
      </c>
      <c r="B45" s="7">
        <v>22.0</v>
      </c>
      <c r="C45" s="8">
        <v>46088.0</v>
      </c>
      <c r="D45" s="7" t="s">
        <v>13</v>
      </c>
      <c r="E45" s="9">
        <v>0.5416666666666666</v>
      </c>
      <c r="F45" s="4" t="s">
        <v>14</v>
      </c>
      <c r="G45" s="7" t="s">
        <v>39</v>
      </c>
      <c r="H45" s="7">
        <v>40.0</v>
      </c>
      <c r="I45" s="7" t="s">
        <v>21</v>
      </c>
      <c r="J45" s="4" t="s">
        <v>31</v>
      </c>
      <c r="K45" s="10">
        <f t="shared" si="1"/>
        <v>3</v>
      </c>
      <c r="L45" s="10">
        <f t="shared" si="2"/>
        <v>6</v>
      </c>
    </row>
    <row r="46">
      <c r="A46" s="7" t="s">
        <v>80</v>
      </c>
      <c r="B46" s="7">
        <v>26.0</v>
      </c>
      <c r="C46" s="8">
        <v>46146.0</v>
      </c>
      <c r="D46" s="7" t="s">
        <v>19</v>
      </c>
      <c r="E46" s="9">
        <v>0.5625</v>
      </c>
      <c r="F46" s="4" t="s">
        <v>29</v>
      </c>
      <c r="G46" s="7" t="s">
        <v>25</v>
      </c>
      <c r="H46" s="7">
        <v>20.0</v>
      </c>
      <c r="I46" s="7" t="s">
        <v>16</v>
      </c>
      <c r="J46" s="4" t="s">
        <v>36</v>
      </c>
      <c r="K46" s="10">
        <f t="shared" si="1"/>
        <v>5</v>
      </c>
      <c r="L46" s="10">
        <f t="shared" si="2"/>
        <v>1</v>
      </c>
    </row>
    <row r="47">
      <c r="A47" s="7" t="s">
        <v>81</v>
      </c>
      <c r="B47" s="7">
        <v>67.0</v>
      </c>
      <c r="C47" s="8">
        <v>46092.0</v>
      </c>
      <c r="D47" s="7" t="s">
        <v>50</v>
      </c>
      <c r="E47" s="9">
        <v>0.5520833333333334</v>
      </c>
      <c r="F47" s="4" t="s">
        <v>20</v>
      </c>
      <c r="G47" s="7" t="s">
        <v>27</v>
      </c>
      <c r="H47" s="7">
        <v>45.0</v>
      </c>
      <c r="I47" s="7" t="s">
        <v>21</v>
      </c>
      <c r="J47" s="4" t="s">
        <v>17</v>
      </c>
      <c r="K47" s="10">
        <f t="shared" si="1"/>
        <v>3</v>
      </c>
      <c r="L47" s="10">
        <f t="shared" si="2"/>
        <v>3</v>
      </c>
    </row>
    <row r="48">
      <c r="A48" s="7" t="s">
        <v>82</v>
      </c>
      <c r="B48" s="7">
        <v>57.0</v>
      </c>
      <c r="C48" s="8">
        <v>46123.0</v>
      </c>
      <c r="D48" s="7" t="s">
        <v>13</v>
      </c>
      <c r="E48" s="9">
        <v>0.3854166666666667</v>
      </c>
      <c r="F48" s="4" t="s">
        <v>14</v>
      </c>
      <c r="G48" s="7" t="s">
        <v>15</v>
      </c>
      <c r="H48" s="7">
        <v>50.0</v>
      </c>
      <c r="I48" s="7" t="s">
        <v>21</v>
      </c>
      <c r="J48" s="4" t="s">
        <v>31</v>
      </c>
      <c r="K48" s="10">
        <f t="shared" si="1"/>
        <v>4</v>
      </c>
      <c r="L48" s="10">
        <f t="shared" si="2"/>
        <v>6</v>
      </c>
    </row>
    <row r="49">
      <c r="A49" s="7" t="s">
        <v>83</v>
      </c>
      <c r="B49" s="7">
        <v>57.0</v>
      </c>
      <c r="C49" s="8">
        <v>46183.0</v>
      </c>
      <c r="D49" s="7" t="s">
        <v>50</v>
      </c>
      <c r="E49" s="9">
        <v>0.5625</v>
      </c>
      <c r="F49" s="4" t="s">
        <v>29</v>
      </c>
      <c r="G49" s="7" t="s">
        <v>35</v>
      </c>
      <c r="H49" s="7">
        <v>35.0</v>
      </c>
      <c r="I49" s="7" t="s">
        <v>21</v>
      </c>
      <c r="J49" s="4" t="s">
        <v>36</v>
      </c>
      <c r="K49" s="10">
        <f t="shared" si="1"/>
        <v>6</v>
      </c>
      <c r="L49" s="10">
        <f t="shared" si="2"/>
        <v>3</v>
      </c>
    </row>
    <row r="50">
      <c r="A50" s="7" t="s">
        <v>84</v>
      </c>
      <c r="B50" s="7">
        <v>44.0</v>
      </c>
      <c r="C50" s="8">
        <v>46078.0</v>
      </c>
      <c r="D50" s="7" t="s">
        <v>50</v>
      </c>
      <c r="E50" s="9">
        <v>0.5416666666666666</v>
      </c>
      <c r="F50" s="4" t="s">
        <v>29</v>
      </c>
      <c r="G50" s="7" t="s">
        <v>58</v>
      </c>
      <c r="H50" s="7">
        <v>45.0</v>
      </c>
      <c r="I50" s="7" t="s">
        <v>21</v>
      </c>
      <c r="J50" s="4" t="s">
        <v>36</v>
      </c>
      <c r="K50" s="10">
        <f t="shared" si="1"/>
        <v>2</v>
      </c>
      <c r="L50" s="10">
        <f t="shared" si="2"/>
        <v>3</v>
      </c>
    </row>
    <row r="51">
      <c r="A51" s="7" t="s">
        <v>85</v>
      </c>
      <c r="B51" s="7">
        <v>49.0</v>
      </c>
      <c r="C51" s="8">
        <v>46099.0</v>
      </c>
      <c r="D51" s="7" t="s">
        <v>50</v>
      </c>
      <c r="E51" s="9">
        <v>0.3958333333333333</v>
      </c>
      <c r="F51" s="4" t="s">
        <v>20</v>
      </c>
      <c r="G51" s="7" t="s">
        <v>35</v>
      </c>
      <c r="H51" s="7">
        <v>60.0</v>
      </c>
      <c r="I51" s="7" t="s">
        <v>21</v>
      </c>
      <c r="J51" s="4" t="s">
        <v>17</v>
      </c>
      <c r="K51" s="10">
        <f t="shared" si="1"/>
        <v>3</v>
      </c>
      <c r="L51" s="10">
        <f t="shared" si="2"/>
        <v>3</v>
      </c>
    </row>
    <row r="52">
      <c r="A52" s="7" t="s">
        <v>86</v>
      </c>
      <c r="B52" s="7">
        <v>46.0</v>
      </c>
      <c r="C52" s="8">
        <v>46045.0</v>
      </c>
      <c r="D52" s="7" t="s">
        <v>33</v>
      </c>
      <c r="E52" s="9">
        <v>0.71875</v>
      </c>
      <c r="F52" s="4" t="s">
        <v>20</v>
      </c>
      <c r="G52" s="7" t="s">
        <v>58</v>
      </c>
      <c r="H52" s="7">
        <v>30.0</v>
      </c>
      <c r="I52" s="7" t="s">
        <v>21</v>
      </c>
      <c r="J52" s="4" t="s">
        <v>22</v>
      </c>
      <c r="K52" s="10">
        <f t="shared" si="1"/>
        <v>1</v>
      </c>
      <c r="L52" s="10">
        <f t="shared" si="2"/>
        <v>5</v>
      </c>
    </row>
    <row r="53">
      <c r="A53" s="7" t="s">
        <v>87</v>
      </c>
      <c r="B53" s="7">
        <v>22.0</v>
      </c>
      <c r="C53" s="8">
        <v>46042.0</v>
      </c>
      <c r="D53" s="7" t="s">
        <v>43</v>
      </c>
      <c r="E53" s="9">
        <v>0.3854166666666667</v>
      </c>
      <c r="F53" s="4" t="s">
        <v>20</v>
      </c>
      <c r="G53" s="7" t="s">
        <v>39</v>
      </c>
      <c r="H53" s="7">
        <v>30.0</v>
      </c>
      <c r="I53" s="7" t="s">
        <v>21</v>
      </c>
      <c r="J53" s="4" t="s">
        <v>22</v>
      </c>
      <c r="K53" s="10">
        <f t="shared" si="1"/>
        <v>1</v>
      </c>
      <c r="L53" s="10">
        <f t="shared" si="2"/>
        <v>2</v>
      </c>
    </row>
    <row r="54">
      <c r="A54" s="7" t="s">
        <v>88</v>
      </c>
      <c r="B54" s="7">
        <v>65.0</v>
      </c>
      <c r="C54" s="8">
        <v>46061.0</v>
      </c>
      <c r="D54" s="7" t="s">
        <v>24</v>
      </c>
      <c r="E54" s="9">
        <v>0.5416666666666666</v>
      </c>
      <c r="F54" s="4" t="s">
        <v>14</v>
      </c>
      <c r="G54" s="7" t="s">
        <v>27</v>
      </c>
      <c r="H54" s="7">
        <v>45.0</v>
      </c>
      <c r="I54" s="7" t="s">
        <v>21</v>
      </c>
      <c r="J54" s="4" t="s">
        <v>36</v>
      </c>
      <c r="K54" s="10">
        <f t="shared" si="1"/>
        <v>2</v>
      </c>
      <c r="L54" s="10">
        <f t="shared" si="2"/>
        <v>7</v>
      </c>
    </row>
    <row r="55">
      <c r="A55" s="7" t="s">
        <v>89</v>
      </c>
      <c r="B55" s="7">
        <v>39.0</v>
      </c>
      <c r="C55" s="8">
        <v>46139.0</v>
      </c>
      <c r="D55" s="7" t="s">
        <v>19</v>
      </c>
      <c r="E55" s="9">
        <v>0.5416666666666666</v>
      </c>
      <c r="F55" s="4" t="s">
        <v>20</v>
      </c>
      <c r="G55" s="7" t="s">
        <v>25</v>
      </c>
      <c r="H55" s="7">
        <v>50.0</v>
      </c>
      <c r="I55" s="7" t="s">
        <v>21</v>
      </c>
      <c r="J55" s="4" t="s">
        <v>22</v>
      </c>
      <c r="K55" s="10">
        <f t="shared" si="1"/>
        <v>4</v>
      </c>
      <c r="L55" s="10">
        <f t="shared" si="2"/>
        <v>1</v>
      </c>
    </row>
    <row r="56">
      <c r="A56" s="7" t="s">
        <v>90</v>
      </c>
      <c r="B56" s="7">
        <v>80.0</v>
      </c>
      <c r="C56" s="8">
        <v>46160.0</v>
      </c>
      <c r="D56" s="7" t="s">
        <v>19</v>
      </c>
      <c r="E56" s="9">
        <v>0.7083333333333334</v>
      </c>
      <c r="F56" s="4" t="s">
        <v>14</v>
      </c>
      <c r="G56" s="7" t="s">
        <v>39</v>
      </c>
      <c r="H56" s="7">
        <v>40.0</v>
      </c>
      <c r="I56" s="7" t="s">
        <v>21</v>
      </c>
      <c r="J56" s="4" t="s">
        <v>17</v>
      </c>
      <c r="K56" s="10">
        <f t="shared" si="1"/>
        <v>5</v>
      </c>
      <c r="L56" s="10">
        <f t="shared" si="2"/>
        <v>1</v>
      </c>
    </row>
    <row r="57">
      <c r="A57" s="7" t="s">
        <v>91</v>
      </c>
      <c r="B57" s="7">
        <v>38.0</v>
      </c>
      <c r="C57" s="8">
        <v>46063.0</v>
      </c>
      <c r="D57" s="7" t="s">
        <v>43</v>
      </c>
      <c r="E57" s="9">
        <v>0.5625</v>
      </c>
      <c r="F57" s="4" t="s">
        <v>20</v>
      </c>
      <c r="G57" s="7" t="s">
        <v>30</v>
      </c>
      <c r="H57" s="7">
        <v>15.0</v>
      </c>
      <c r="I57" s="7" t="s">
        <v>21</v>
      </c>
      <c r="J57" s="4" t="s">
        <v>36</v>
      </c>
      <c r="K57" s="10">
        <f t="shared" si="1"/>
        <v>2</v>
      </c>
      <c r="L57" s="10">
        <f t="shared" si="2"/>
        <v>2</v>
      </c>
    </row>
    <row r="58">
      <c r="A58" s="7" t="s">
        <v>92</v>
      </c>
      <c r="B58" s="7">
        <v>60.0</v>
      </c>
      <c r="C58" s="8">
        <v>46164.0</v>
      </c>
      <c r="D58" s="7" t="s">
        <v>33</v>
      </c>
      <c r="E58" s="9">
        <v>0.5625</v>
      </c>
      <c r="F58" s="4" t="s">
        <v>14</v>
      </c>
      <c r="G58" s="7" t="s">
        <v>35</v>
      </c>
      <c r="H58" s="7">
        <v>35.0</v>
      </c>
      <c r="I58" s="7" t="s">
        <v>21</v>
      </c>
      <c r="J58" s="4" t="s">
        <v>36</v>
      </c>
      <c r="K58" s="10">
        <f t="shared" si="1"/>
        <v>5</v>
      </c>
      <c r="L58" s="10">
        <f t="shared" si="2"/>
        <v>5</v>
      </c>
    </row>
    <row r="59">
      <c r="A59" s="7" t="s">
        <v>93</v>
      </c>
      <c r="B59" s="7">
        <v>29.0</v>
      </c>
      <c r="C59" s="8">
        <v>46058.0</v>
      </c>
      <c r="D59" s="7" t="s">
        <v>38</v>
      </c>
      <c r="E59" s="9">
        <v>0.71875</v>
      </c>
      <c r="F59" s="4" t="s">
        <v>20</v>
      </c>
      <c r="G59" s="7" t="s">
        <v>15</v>
      </c>
      <c r="H59" s="7">
        <v>25.0</v>
      </c>
      <c r="I59" s="7" t="s">
        <v>21</v>
      </c>
      <c r="J59" s="4" t="s">
        <v>22</v>
      </c>
      <c r="K59" s="10">
        <f t="shared" si="1"/>
        <v>2</v>
      </c>
      <c r="L59" s="10">
        <f t="shared" si="2"/>
        <v>4</v>
      </c>
    </row>
    <row r="60">
      <c r="A60" s="7" t="s">
        <v>94</v>
      </c>
      <c r="B60" s="7">
        <v>35.0</v>
      </c>
      <c r="C60" s="8">
        <v>46114.0</v>
      </c>
      <c r="D60" s="7" t="s">
        <v>38</v>
      </c>
      <c r="E60" s="9">
        <v>0.7083333333333334</v>
      </c>
      <c r="F60" s="4" t="s">
        <v>20</v>
      </c>
      <c r="G60" s="7" t="s">
        <v>58</v>
      </c>
      <c r="H60" s="7">
        <v>50.0</v>
      </c>
      <c r="I60" s="7" t="s">
        <v>21</v>
      </c>
      <c r="J60" s="4" t="s">
        <v>22</v>
      </c>
      <c r="K60" s="10">
        <f t="shared" si="1"/>
        <v>4</v>
      </c>
      <c r="L60" s="10">
        <f t="shared" si="2"/>
        <v>4</v>
      </c>
    </row>
    <row r="61">
      <c r="A61" s="7" t="s">
        <v>95</v>
      </c>
      <c r="B61" s="7">
        <v>26.0</v>
      </c>
      <c r="C61" s="8">
        <v>46202.0</v>
      </c>
      <c r="D61" s="7" t="s">
        <v>19</v>
      </c>
      <c r="E61" s="9">
        <v>0.5625</v>
      </c>
      <c r="F61" s="4" t="s">
        <v>29</v>
      </c>
      <c r="G61" s="7" t="s">
        <v>39</v>
      </c>
      <c r="H61" s="7">
        <v>40.0</v>
      </c>
      <c r="I61" s="7" t="s">
        <v>21</v>
      </c>
      <c r="J61" s="4" t="s">
        <v>22</v>
      </c>
      <c r="K61" s="10">
        <f t="shared" si="1"/>
        <v>6</v>
      </c>
      <c r="L61" s="10">
        <f t="shared" si="2"/>
        <v>1</v>
      </c>
    </row>
    <row r="62">
      <c r="A62" s="7" t="s">
        <v>96</v>
      </c>
      <c r="B62" s="7">
        <v>53.0</v>
      </c>
      <c r="C62" s="8">
        <v>46143.0</v>
      </c>
      <c r="D62" s="7" t="s">
        <v>33</v>
      </c>
      <c r="E62" s="9">
        <v>0.5520833333333334</v>
      </c>
      <c r="F62" s="4" t="s">
        <v>29</v>
      </c>
      <c r="G62" s="7" t="s">
        <v>58</v>
      </c>
      <c r="H62" s="7">
        <v>25.0</v>
      </c>
      <c r="I62" s="7" t="s">
        <v>16</v>
      </c>
      <c r="J62" s="4" t="s">
        <v>17</v>
      </c>
      <c r="K62" s="10">
        <f t="shared" si="1"/>
        <v>5</v>
      </c>
      <c r="L62" s="10">
        <f t="shared" si="2"/>
        <v>5</v>
      </c>
    </row>
    <row r="63">
      <c r="A63" s="7" t="s">
        <v>97</v>
      </c>
      <c r="B63" s="7">
        <v>60.0</v>
      </c>
      <c r="C63" s="8">
        <v>46146.0</v>
      </c>
      <c r="D63" s="7" t="s">
        <v>19</v>
      </c>
      <c r="E63" s="9">
        <v>0.7291666666666666</v>
      </c>
      <c r="F63" s="4" t="s">
        <v>29</v>
      </c>
      <c r="G63" s="7" t="s">
        <v>58</v>
      </c>
      <c r="H63" s="7">
        <v>35.0</v>
      </c>
      <c r="I63" s="7" t="s">
        <v>21</v>
      </c>
      <c r="J63" s="4" t="s">
        <v>31</v>
      </c>
      <c r="K63" s="10">
        <f t="shared" si="1"/>
        <v>5</v>
      </c>
      <c r="L63" s="10">
        <f t="shared" si="2"/>
        <v>1</v>
      </c>
    </row>
    <row r="64">
      <c r="A64" s="7" t="s">
        <v>98</v>
      </c>
      <c r="B64" s="7">
        <v>45.0</v>
      </c>
      <c r="C64" s="8">
        <v>46114.0</v>
      </c>
      <c r="D64" s="7" t="s">
        <v>38</v>
      </c>
      <c r="E64" s="9">
        <v>0.5520833333333334</v>
      </c>
      <c r="F64" s="4" t="s">
        <v>14</v>
      </c>
      <c r="G64" s="7" t="s">
        <v>44</v>
      </c>
      <c r="H64" s="7">
        <v>35.0</v>
      </c>
      <c r="I64" s="7" t="s">
        <v>21</v>
      </c>
      <c r="J64" s="4" t="s">
        <v>36</v>
      </c>
      <c r="K64" s="10">
        <f t="shared" si="1"/>
        <v>4</v>
      </c>
      <c r="L64" s="10">
        <f t="shared" si="2"/>
        <v>4</v>
      </c>
    </row>
    <row r="65">
      <c r="A65" s="7" t="s">
        <v>99</v>
      </c>
      <c r="B65" s="7">
        <v>26.0</v>
      </c>
      <c r="C65" s="8">
        <v>46067.0</v>
      </c>
      <c r="D65" s="7" t="s">
        <v>13</v>
      </c>
      <c r="E65" s="9">
        <v>0.5520833333333334</v>
      </c>
      <c r="F65" s="4" t="s">
        <v>20</v>
      </c>
      <c r="G65" s="7" t="s">
        <v>58</v>
      </c>
      <c r="H65" s="7">
        <v>60.0</v>
      </c>
      <c r="I65" s="7" t="s">
        <v>21</v>
      </c>
      <c r="J65" s="4" t="s">
        <v>22</v>
      </c>
      <c r="K65" s="10">
        <f t="shared" si="1"/>
        <v>2</v>
      </c>
      <c r="L65" s="10">
        <f t="shared" si="2"/>
        <v>6</v>
      </c>
    </row>
    <row r="66">
      <c r="A66" s="7" t="s">
        <v>100</v>
      </c>
      <c r="B66" s="7">
        <v>70.0</v>
      </c>
      <c r="C66" s="8">
        <v>46053.0</v>
      </c>
      <c r="D66" s="7" t="s">
        <v>13</v>
      </c>
      <c r="E66" s="9">
        <v>0.3854166666666667</v>
      </c>
      <c r="F66" s="4" t="s">
        <v>29</v>
      </c>
      <c r="G66" s="7" t="s">
        <v>30</v>
      </c>
      <c r="H66" s="7">
        <v>25.0</v>
      </c>
      <c r="I66" s="7" t="s">
        <v>21</v>
      </c>
      <c r="J66" s="4" t="s">
        <v>22</v>
      </c>
      <c r="K66" s="10">
        <f t="shared" si="1"/>
        <v>1</v>
      </c>
      <c r="L66" s="10">
        <f t="shared" si="2"/>
        <v>6</v>
      </c>
    </row>
    <row r="67">
      <c r="A67" s="7" t="s">
        <v>101</v>
      </c>
      <c r="B67" s="7">
        <v>63.0</v>
      </c>
      <c r="C67" s="8">
        <v>46093.0</v>
      </c>
      <c r="D67" s="7" t="s">
        <v>38</v>
      </c>
      <c r="E67" s="9">
        <v>0.7083333333333334</v>
      </c>
      <c r="F67" s="4" t="s">
        <v>29</v>
      </c>
      <c r="G67" s="7" t="s">
        <v>35</v>
      </c>
      <c r="H67" s="7">
        <v>15.0</v>
      </c>
      <c r="I67" s="7" t="s">
        <v>21</v>
      </c>
      <c r="J67" s="4" t="s">
        <v>36</v>
      </c>
      <c r="K67" s="10">
        <f t="shared" si="1"/>
        <v>3</v>
      </c>
      <c r="L67" s="10">
        <f t="shared" si="2"/>
        <v>4</v>
      </c>
    </row>
    <row r="68">
      <c r="A68" s="7" t="s">
        <v>102</v>
      </c>
      <c r="B68" s="7">
        <v>68.0</v>
      </c>
      <c r="C68" s="8">
        <v>46135.0</v>
      </c>
      <c r="D68" s="7" t="s">
        <v>38</v>
      </c>
      <c r="E68" s="9">
        <v>0.71875</v>
      </c>
      <c r="F68" s="4" t="s">
        <v>14</v>
      </c>
      <c r="G68" s="7" t="s">
        <v>15</v>
      </c>
      <c r="H68" s="7">
        <v>45.0</v>
      </c>
      <c r="I68" s="7" t="s">
        <v>21</v>
      </c>
      <c r="J68" s="4" t="s">
        <v>22</v>
      </c>
      <c r="K68" s="10">
        <f t="shared" si="1"/>
        <v>4</v>
      </c>
      <c r="L68" s="10">
        <f t="shared" si="2"/>
        <v>4</v>
      </c>
    </row>
    <row r="69">
      <c r="A69" s="7" t="s">
        <v>103</v>
      </c>
      <c r="B69" s="7">
        <v>58.0</v>
      </c>
      <c r="C69" s="8">
        <v>46084.0</v>
      </c>
      <c r="D69" s="7" t="s">
        <v>43</v>
      </c>
      <c r="E69" s="9">
        <v>0.7291666666666666</v>
      </c>
      <c r="F69" s="4" t="s">
        <v>20</v>
      </c>
      <c r="G69" s="7" t="s">
        <v>30</v>
      </c>
      <c r="H69" s="7">
        <v>15.0</v>
      </c>
      <c r="I69" s="7" t="s">
        <v>21</v>
      </c>
      <c r="J69" s="4" t="s">
        <v>36</v>
      </c>
      <c r="K69" s="10">
        <f t="shared" si="1"/>
        <v>3</v>
      </c>
      <c r="L69" s="10">
        <f t="shared" si="2"/>
        <v>2</v>
      </c>
    </row>
    <row r="70">
      <c r="A70" s="7" t="s">
        <v>104</v>
      </c>
      <c r="B70" s="7">
        <v>46.0</v>
      </c>
      <c r="C70" s="8">
        <v>46116.0</v>
      </c>
      <c r="D70" s="7" t="s">
        <v>13</v>
      </c>
      <c r="E70" s="9">
        <v>0.5520833333333334</v>
      </c>
      <c r="F70" s="4" t="s">
        <v>14</v>
      </c>
      <c r="G70" s="7" t="s">
        <v>35</v>
      </c>
      <c r="H70" s="7">
        <v>60.0</v>
      </c>
      <c r="I70" s="7" t="s">
        <v>21</v>
      </c>
      <c r="J70" s="4" t="s">
        <v>36</v>
      </c>
      <c r="K70" s="10">
        <f t="shared" si="1"/>
        <v>4</v>
      </c>
      <c r="L70" s="10">
        <f t="shared" si="2"/>
        <v>6</v>
      </c>
    </row>
    <row r="71">
      <c r="A71" s="7" t="s">
        <v>105</v>
      </c>
      <c r="B71" s="7">
        <v>51.0</v>
      </c>
      <c r="C71" s="8">
        <v>46124.0</v>
      </c>
      <c r="D71" s="7" t="s">
        <v>24</v>
      </c>
      <c r="E71" s="9">
        <v>0.5520833333333334</v>
      </c>
      <c r="F71" s="4" t="s">
        <v>29</v>
      </c>
      <c r="G71" s="7" t="s">
        <v>39</v>
      </c>
      <c r="H71" s="7">
        <v>15.0</v>
      </c>
      <c r="I71" s="7" t="s">
        <v>21</v>
      </c>
      <c r="J71" s="4" t="s">
        <v>36</v>
      </c>
      <c r="K71" s="10">
        <f t="shared" si="1"/>
        <v>4</v>
      </c>
      <c r="L71" s="10">
        <f t="shared" si="2"/>
        <v>7</v>
      </c>
    </row>
    <row r="72">
      <c r="A72" s="7" t="s">
        <v>106</v>
      </c>
      <c r="B72" s="7">
        <v>74.0</v>
      </c>
      <c r="C72" s="8">
        <v>46192.0</v>
      </c>
      <c r="D72" s="7" t="s">
        <v>33</v>
      </c>
      <c r="E72" s="9">
        <v>0.375</v>
      </c>
      <c r="F72" s="4" t="s">
        <v>14</v>
      </c>
      <c r="G72" s="7" t="s">
        <v>15</v>
      </c>
      <c r="H72" s="7">
        <v>15.0</v>
      </c>
      <c r="I72" s="7" t="s">
        <v>21</v>
      </c>
      <c r="J72" s="4" t="s">
        <v>17</v>
      </c>
      <c r="K72" s="10">
        <f t="shared" si="1"/>
        <v>6</v>
      </c>
      <c r="L72" s="10">
        <f t="shared" si="2"/>
        <v>5</v>
      </c>
    </row>
    <row r="73">
      <c r="A73" s="7" t="s">
        <v>107</v>
      </c>
      <c r="B73" s="7">
        <v>41.0</v>
      </c>
      <c r="C73" s="8">
        <v>46047.0</v>
      </c>
      <c r="D73" s="7" t="s">
        <v>24</v>
      </c>
      <c r="E73" s="9">
        <v>0.5416666666666666</v>
      </c>
      <c r="F73" s="4" t="s">
        <v>20</v>
      </c>
      <c r="G73" s="7" t="s">
        <v>58</v>
      </c>
      <c r="H73" s="7">
        <v>20.0</v>
      </c>
      <c r="I73" s="7" t="s">
        <v>21</v>
      </c>
      <c r="J73" s="4" t="s">
        <v>17</v>
      </c>
      <c r="K73" s="10">
        <f t="shared" si="1"/>
        <v>1</v>
      </c>
      <c r="L73" s="10">
        <f t="shared" si="2"/>
        <v>7</v>
      </c>
    </row>
    <row r="74">
      <c r="A74" s="7" t="s">
        <v>108</v>
      </c>
      <c r="B74" s="7">
        <v>58.0</v>
      </c>
      <c r="C74" s="8">
        <v>46072.0</v>
      </c>
      <c r="D74" s="7" t="s">
        <v>38</v>
      </c>
      <c r="E74" s="9">
        <v>0.71875</v>
      </c>
      <c r="F74" s="4" t="s">
        <v>29</v>
      </c>
      <c r="G74" s="7" t="s">
        <v>25</v>
      </c>
      <c r="H74" s="7">
        <v>35.0</v>
      </c>
      <c r="I74" s="7" t="s">
        <v>21</v>
      </c>
      <c r="J74" s="4" t="s">
        <v>31</v>
      </c>
      <c r="K74" s="10">
        <f t="shared" si="1"/>
        <v>2</v>
      </c>
      <c r="L74" s="10">
        <f t="shared" si="2"/>
        <v>4</v>
      </c>
    </row>
    <row r="75">
      <c r="A75" s="7" t="s">
        <v>109</v>
      </c>
      <c r="B75" s="7">
        <v>18.0</v>
      </c>
      <c r="C75" s="8">
        <v>46107.0</v>
      </c>
      <c r="D75" s="7" t="s">
        <v>38</v>
      </c>
      <c r="E75" s="9">
        <v>0.5520833333333334</v>
      </c>
      <c r="F75" s="4" t="s">
        <v>20</v>
      </c>
      <c r="G75" s="7" t="s">
        <v>35</v>
      </c>
      <c r="H75" s="7">
        <v>45.0</v>
      </c>
      <c r="I75" s="7" t="s">
        <v>21</v>
      </c>
      <c r="J75" s="4" t="s">
        <v>36</v>
      </c>
      <c r="K75" s="10">
        <f t="shared" si="1"/>
        <v>3</v>
      </c>
      <c r="L75" s="10">
        <f t="shared" si="2"/>
        <v>4</v>
      </c>
    </row>
    <row r="76">
      <c r="A76" s="7" t="s">
        <v>110</v>
      </c>
      <c r="B76" s="7">
        <v>26.0</v>
      </c>
      <c r="C76" s="8">
        <v>46109.0</v>
      </c>
      <c r="D76" s="7" t="s">
        <v>13</v>
      </c>
      <c r="E76" s="9">
        <v>0.5416666666666666</v>
      </c>
      <c r="F76" s="4" t="s">
        <v>20</v>
      </c>
      <c r="G76" s="7" t="s">
        <v>44</v>
      </c>
      <c r="H76" s="7">
        <v>40.0</v>
      </c>
      <c r="I76" s="7" t="s">
        <v>21</v>
      </c>
      <c r="J76" s="4" t="s">
        <v>22</v>
      </c>
      <c r="K76" s="10">
        <f t="shared" si="1"/>
        <v>3</v>
      </c>
      <c r="L76" s="10">
        <f t="shared" si="2"/>
        <v>6</v>
      </c>
    </row>
    <row r="77">
      <c r="A77" s="7" t="s">
        <v>111</v>
      </c>
      <c r="B77" s="7">
        <v>26.0</v>
      </c>
      <c r="C77" s="8">
        <v>46171.0</v>
      </c>
      <c r="D77" s="7" t="s">
        <v>33</v>
      </c>
      <c r="E77" s="9">
        <v>0.375</v>
      </c>
      <c r="F77" s="4" t="s">
        <v>20</v>
      </c>
      <c r="G77" s="7" t="s">
        <v>27</v>
      </c>
      <c r="H77" s="7">
        <v>40.0</v>
      </c>
      <c r="I77" s="7" t="s">
        <v>21</v>
      </c>
      <c r="J77" s="4" t="s">
        <v>36</v>
      </c>
      <c r="K77" s="10">
        <f t="shared" si="1"/>
        <v>5</v>
      </c>
      <c r="L77" s="10">
        <f t="shared" si="2"/>
        <v>5</v>
      </c>
    </row>
    <row r="78">
      <c r="A78" s="7" t="s">
        <v>112</v>
      </c>
      <c r="B78" s="7">
        <v>62.0</v>
      </c>
      <c r="C78" s="8">
        <v>46184.0</v>
      </c>
      <c r="D78" s="7" t="s">
        <v>38</v>
      </c>
      <c r="E78" s="9">
        <v>0.5625</v>
      </c>
      <c r="F78" s="4" t="s">
        <v>20</v>
      </c>
      <c r="G78" s="7" t="s">
        <v>30</v>
      </c>
      <c r="H78" s="7">
        <v>30.0</v>
      </c>
      <c r="I78" s="7" t="s">
        <v>21</v>
      </c>
      <c r="J78" s="4" t="s">
        <v>22</v>
      </c>
      <c r="K78" s="10">
        <f t="shared" si="1"/>
        <v>6</v>
      </c>
      <c r="L78" s="10">
        <f t="shared" si="2"/>
        <v>4</v>
      </c>
    </row>
    <row r="79">
      <c r="A79" s="7" t="s">
        <v>113</v>
      </c>
      <c r="B79" s="7">
        <v>45.0</v>
      </c>
      <c r="C79" s="8">
        <v>46161.0</v>
      </c>
      <c r="D79" s="7" t="s">
        <v>43</v>
      </c>
      <c r="E79" s="9">
        <v>0.3854166666666667</v>
      </c>
      <c r="F79" s="4" t="s">
        <v>29</v>
      </c>
      <c r="G79" s="7" t="s">
        <v>27</v>
      </c>
      <c r="H79" s="7">
        <v>25.0</v>
      </c>
      <c r="I79" s="7" t="s">
        <v>21</v>
      </c>
      <c r="J79" s="4" t="s">
        <v>17</v>
      </c>
      <c r="K79" s="10">
        <f t="shared" si="1"/>
        <v>5</v>
      </c>
      <c r="L79" s="10">
        <f t="shared" si="2"/>
        <v>2</v>
      </c>
    </row>
    <row r="80">
      <c r="A80" s="7" t="s">
        <v>114</v>
      </c>
      <c r="B80" s="7">
        <v>43.0</v>
      </c>
      <c r="C80" s="8">
        <v>46158.0</v>
      </c>
      <c r="D80" s="7" t="s">
        <v>13</v>
      </c>
      <c r="E80" s="9">
        <v>0.375</v>
      </c>
      <c r="F80" s="4" t="s">
        <v>14</v>
      </c>
      <c r="G80" s="7" t="s">
        <v>44</v>
      </c>
      <c r="H80" s="7">
        <v>15.0</v>
      </c>
      <c r="I80" s="7" t="s">
        <v>21</v>
      </c>
      <c r="J80" s="4" t="s">
        <v>22</v>
      </c>
      <c r="K80" s="10">
        <f t="shared" si="1"/>
        <v>5</v>
      </c>
      <c r="L80" s="10">
        <f t="shared" si="2"/>
        <v>6</v>
      </c>
    </row>
    <row r="81">
      <c r="A81" s="7" t="s">
        <v>115</v>
      </c>
      <c r="B81" s="7">
        <v>77.0</v>
      </c>
      <c r="C81" s="8">
        <v>46163.0</v>
      </c>
      <c r="D81" s="7" t="s">
        <v>38</v>
      </c>
      <c r="E81" s="9">
        <v>0.5520833333333334</v>
      </c>
      <c r="F81" s="4" t="s">
        <v>29</v>
      </c>
      <c r="G81" s="7" t="s">
        <v>39</v>
      </c>
      <c r="H81" s="7">
        <v>35.0</v>
      </c>
      <c r="I81" s="7" t="s">
        <v>21</v>
      </c>
      <c r="J81" s="4" t="s">
        <v>17</v>
      </c>
      <c r="K81" s="10">
        <f t="shared" si="1"/>
        <v>5</v>
      </c>
      <c r="L81" s="10">
        <f t="shared" si="2"/>
        <v>4</v>
      </c>
    </row>
    <row r="82">
      <c r="A82" s="7" t="s">
        <v>116</v>
      </c>
      <c r="B82" s="7">
        <v>36.0</v>
      </c>
      <c r="C82" s="8">
        <v>46187.0</v>
      </c>
      <c r="D82" s="7" t="s">
        <v>24</v>
      </c>
      <c r="E82" s="9">
        <v>0.5416666666666666</v>
      </c>
      <c r="F82" s="4" t="s">
        <v>29</v>
      </c>
      <c r="G82" s="7" t="s">
        <v>39</v>
      </c>
      <c r="H82" s="7">
        <v>20.0</v>
      </c>
      <c r="I82" s="7" t="s">
        <v>21</v>
      </c>
      <c r="J82" s="4" t="s">
        <v>36</v>
      </c>
      <c r="K82" s="10">
        <f t="shared" si="1"/>
        <v>6</v>
      </c>
      <c r="L82" s="10">
        <f t="shared" si="2"/>
        <v>7</v>
      </c>
    </row>
    <row r="83">
      <c r="A83" s="7" t="s">
        <v>117</v>
      </c>
      <c r="B83" s="7">
        <v>67.0</v>
      </c>
      <c r="C83" s="8">
        <v>46111.0</v>
      </c>
      <c r="D83" s="7" t="s">
        <v>19</v>
      </c>
      <c r="E83" s="9">
        <v>0.7083333333333334</v>
      </c>
      <c r="F83" s="4" t="s">
        <v>29</v>
      </c>
      <c r="G83" s="7" t="s">
        <v>58</v>
      </c>
      <c r="H83" s="7">
        <v>20.0</v>
      </c>
      <c r="I83" s="7" t="s">
        <v>21</v>
      </c>
      <c r="J83" s="4" t="s">
        <v>31</v>
      </c>
      <c r="K83" s="10">
        <f t="shared" si="1"/>
        <v>3</v>
      </c>
      <c r="L83" s="10">
        <f t="shared" si="2"/>
        <v>1</v>
      </c>
    </row>
    <row r="84">
      <c r="A84" s="7" t="s">
        <v>118</v>
      </c>
      <c r="B84" s="7">
        <v>75.0</v>
      </c>
      <c r="C84" s="8">
        <v>46153.0</v>
      </c>
      <c r="D84" s="7" t="s">
        <v>19</v>
      </c>
      <c r="E84" s="9">
        <v>0.3854166666666667</v>
      </c>
      <c r="F84" s="4" t="s">
        <v>29</v>
      </c>
      <c r="G84" s="7" t="s">
        <v>58</v>
      </c>
      <c r="H84" s="7">
        <v>60.0</v>
      </c>
      <c r="I84" s="7" t="s">
        <v>16</v>
      </c>
      <c r="J84" s="4" t="s">
        <v>22</v>
      </c>
      <c r="K84" s="10">
        <f t="shared" si="1"/>
        <v>5</v>
      </c>
      <c r="L84" s="10">
        <f t="shared" si="2"/>
        <v>1</v>
      </c>
    </row>
    <row r="85">
      <c r="A85" s="7" t="s">
        <v>119</v>
      </c>
      <c r="B85" s="7">
        <v>46.0</v>
      </c>
      <c r="C85" s="8">
        <v>46109.0</v>
      </c>
      <c r="D85" s="7" t="s">
        <v>13</v>
      </c>
      <c r="E85" s="9">
        <v>0.5416666666666666</v>
      </c>
      <c r="F85" s="4" t="s">
        <v>29</v>
      </c>
      <c r="G85" s="7" t="s">
        <v>39</v>
      </c>
      <c r="H85" s="7">
        <v>60.0</v>
      </c>
      <c r="I85" s="7" t="s">
        <v>21</v>
      </c>
      <c r="J85" s="4" t="s">
        <v>17</v>
      </c>
      <c r="K85" s="10">
        <f t="shared" si="1"/>
        <v>3</v>
      </c>
      <c r="L85" s="10">
        <f t="shared" si="2"/>
        <v>6</v>
      </c>
    </row>
    <row r="86">
      <c r="A86" s="7" t="s">
        <v>120</v>
      </c>
      <c r="B86" s="7">
        <v>57.0</v>
      </c>
      <c r="C86" s="8">
        <v>46096.0</v>
      </c>
      <c r="D86" s="7" t="s">
        <v>24</v>
      </c>
      <c r="E86" s="9">
        <v>0.7291666666666666</v>
      </c>
      <c r="F86" s="4" t="s">
        <v>29</v>
      </c>
      <c r="G86" s="7" t="s">
        <v>30</v>
      </c>
      <c r="H86" s="7">
        <v>60.0</v>
      </c>
      <c r="I86" s="7" t="s">
        <v>21</v>
      </c>
      <c r="J86" s="4" t="s">
        <v>36</v>
      </c>
      <c r="K86" s="10">
        <f t="shared" si="1"/>
        <v>3</v>
      </c>
      <c r="L86" s="10">
        <f t="shared" si="2"/>
        <v>7</v>
      </c>
    </row>
    <row r="87">
      <c r="A87" s="7" t="s">
        <v>121</v>
      </c>
      <c r="B87" s="7">
        <v>26.0</v>
      </c>
      <c r="C87" s="8">
        <v>46124.0</v>
      </c>
      <c r="D87" s="7" t="s">
        <v>24</v>
      </c>
      <c r="E87" s="9">
        <v>0.3958333333333333</v>
      </c>
      <c r="F87" s="4" t="s">
        <v>20</v>
      </c>
      <c r="G87" s="7" t="s">
        <v>39</v>
      </c>
      <c r="H87" s="7">
        <v>40.0</v>
      </c>
      <c r="I87" s="7" t="s">
        <v>21</v>
      </c>
      <c r="J87" s="4" t="s">
        <v>22</v>
      </c>
      <c r="K87" s="10">
        <f t="shared" si="1"/>
        <v>4</v>
      </c>
      <c r="L87" s="10">
        <f t="shared" si="2"/>
        <v>7</v>
      </c>
    </row>
    <row r="88">
      <c r="A88" s="7" t="s">
        <v>122</v>
      </c>
      <c r="B88" s="7">
        <v>49.0</v>
      </c>
      <c r="C88" s="8">
        <v>46097.0</v>
      </c>
      <c r="D88" s="7" t="s">
        <v>19</v>
      </c>
      <c r="E88" s="9">
        <v>0.375</v>
      </c>
      <c r="F88" s="4" t="s">
        <v>20</v>
      </c>
      <c r="G88" s="7" t="s">
        <v>44</v>
      </c>
      <c r="H88" s="7">
        <v>30.0</v>
      </c>
      <c r="I88" s="7" t="s">
        <v>16</v>
      </c>
      <c r="J88" s="4" t="s">
        <v>22</v>
      </c>
      <c r="K88" s="10">
        <f t="shared" si="1"/>
        <v>3</v>
      </c>
      <c r="L88" s="10">
        <f t="shared" si="2"/>
        <v>1</v>
      </c>
    </row>
    <row r="89">
      <c r="A89" s="7" t="s">
        <v>123</v>
      </c>
      <c r="B89" s="7">
        <v>44.0</v>
      </c>
      <c r="C89" s="8">
        <v>46035.0</v>
      </c>
      <c r="D89" s="7" t="s">
        <v>43</v>
      </c>
      <c r="E89" s="9">
        <v>0.5416666666666666</v>
      </c>
      <c r="F89" s="4" t="s">
        <v>20</v>
      </c>
      <c r="G89" s="7" t="s">
        <v>27</v>
      </c>
      <c r="H89" s="7">
        <v>15.0</v>
      </c>
      <c r="I89" s="7" t="s">
        <v>21</v>
      </c>
      <c r="J89" s="4" t="s">
        <v>36</v>
      </c>
      <c r="K89" s="10">
        <f t="shared" si="1"/>
        <v>1</v>
      </c>
      <c r="L89" s="10">
        <f t="shared" si="2"/>
        <v>2</v>
      </c>
    </row>
    <row r="90">
      <c r="A90" s="7" t="s">
        <v>124</v>
      </c>
      <c r="B90" s="7">
        <v>28.0</v>
      </c>
      <c r="C90" s="8">
        <v>46133.0</v>
      </c>
      <c r="D90" s="7" t="s">
        <v>43</v>
      </c>
      <c r="E90" s="9">
        <v>0.71875</v>
      </c>
      <c r="F90" s="4" t="s">
        <v>20</v>
      </c>
      <c r="G90" s="7" t="s">
        <v>58</v>
      </c>
      <c r="H90" s="7">
        <v>30.0</v>
      </c>
      <c r="I90" s="7" t="s">
        <v>21</v>
      </c>
      <c r="J90" s="4" t="s">
        <v>17</v>
      </c>
      <c r="K90" s="10">
        <f t="shared" si="1"/>
        <v>4</v>
      </c>
      <c r="L90" s="10">
        <f t="shared" si="2"/>
        <v>2</v>
      </c>
    </row>
    <row r="91">
      <c r="A91" s="7" t="s">
        <v>125</v>
      </c>
      <c r="B91" s="7">
        <v>49.0</v>
      </c>
      <c r="C91" s="8">
        <v>46165.0</v>
      </c>
      <c r="D91" s="7" t="s">
        <v>13</v>
      </c>
      <c r="E91" s="9">
        <v>0.7291666666666666</v>
      </c>
      <c r="F91" s="4" t="s">
        <v>20</v>
      </c>
      <c r="G91" s="7" t="s">
        <v>39</v>
      </c>
      <c r="H91" s="7">
        <v>40.0</v>
      </c>
      <c r="I91" s="7" t="s">
        <v>21</v>
      </c>
      <c r="J91" s="4" t="s">
        <v>22</v>
      </c>
      <c r="K91" s="10">
        <f t="shared" si="1"/>
        <v>5</v>
      </c>
      <c r="L91" s="10">
        <f t="shared" si="2"/>
        <v>6</v>
      </c>
    </row>
    <row r="92">
      <c r="A92" s="7" t="s">
        <v>126</v>
      </c>
      <c r="B92" s="7">
        <v>79.0</v>
      </c>
      <c r="C92" s="8">
        <v>46179.0</v>
      </c>
      <c r="D92" s="7" t="s">
        <v>13</v>
      </c>
      <c r="E92" s="9">
        <v>0.375</v>
      </c>
      <c r="F92" s="4" t="s">
        <v>14</v>
      </c>
      <c r="G92" s="7" t="s">
        <v>35</v>
      </c>
      <c r="H92" s="7">
        <v>20.0</v>
      </c>
      <c r="I92" s="7" t="s">
        <v>21</v>
      </c>
      <c r="J92" s="4" t="s">
        <v>17</v>
      </c>
      <c r="K92" s="10">
        <f t="shared" si="1"/>
        <v>6</v>
      </c>
      <c r="L92" s="10">
        <f t="shared" si="2"/>
        <v>6</v>
      </c>
    </row>
    <row r="93">
      <c r="A93" s="7" t="s">
        <v>127</v>
      </c>
      <c r="B93" s="7">
        <v>68.0</v>
      </c>
      <c r="C93" s="8">
        <v>46200.0</v>
      </c>
      <c r="D93" s="7" t="s">
        <v>13</v>
      </c>
      <c r="E93" s="9">
        <v>0.71875</v>
      </c>
      <c r="F93" s="4" t="s">
        <v>29</v>
      </c>
      <c r="G93" s="7" t="s">
        <v>58</v>
      </c>
      <c r="H93" s="7">
        <v>20.0</v>
      </c>
      <c r="I93" s="7" t="s">
        <v>21</v>
      </c>
      <c r="J93" s="4" t="s">
        <v>22</v>
      </c>
      <c r="K93" s="10">
        <f t="shared" si="1"/>
        <v>6</v>
      </c>
      <c r="L93" s="10">
        <f t="shared" si="2"/>
        <v>6</v>
      </c>
    </row>
    <row r="94">
      <c r="A94" s="7" t="s">
        <v>128</v>
      </c>
      <c r="B94" s="7">
        <v>61.0</v>
      </c>
      <c r="C94" s="8">
        <v>46032.0</v>
      </c>
      <c r="D94" s="7" t="s">
        <v>13</v>
      </c>
      <c r="E94" s="9">
        <v>0.7083333333333334</v>
      </c>
      <c r="F94" s="4" t="s">
        <v>29</v>
      </c>
      <c r="G94" s="7" t="s">
        <v>44</v>
      </c>
      <c r="H94" s="7">
        <v>30.0</v>
      </c>
      <c r="I94" s="7" t="s">
        <v>21</v>
      </c>
      <c r="J94" s="4" t="s">
        <v>17</v>
      </c>
      <c r="K94" s="10">
        <f t="shared" si="1"/>
        <v>1</v>
      </c>
      <c r="L94" s="10">
        <f t="shared" si="2"/>
        <v>6</v>
      </c>
    </row>
    <row r="95">
      <c r="A95" s="7" t="s">
        <v>129</v>
      </c>
      <c r="B95" s="7">
        <v>37.0</v>
      </c>
      <c r="C95" s="8">
        <v>46049.0</v>
      </c>
      <c r="D95" s="7" t="s">
        <v>43</v>
      </c>
      <c r="E95" s="9">
        <v>0.3854166666666667</v>
      </c>
      <c r="F95" s="4" t="s">
        <v>29</v>
      </c>
      <c r="G95" s="7" t="s">
        <v>58</v>
      </c>
      <c r="H95" s="7">
        <v>20.0</v>
      </c>
      <c r="I95" s="7" t="s">
        <v>16</v>
      </c>
      <c r="J95" s="4" t="s">
        <v>36</v>
      </c>
      <c r="K95" s="10">
        <f t="shared" si="1"/>
        <v>1</v>
      </c>
      <c r="L95" s="10">
        <f t="shared" si="2"/>
        <v>2</v>
      </c>
    </row>
    <row r="96">
      <c r="A96" s="7" t="s">
        <v>130</v>
      </c>
      <c r="B96" s="7">
        <v>18.0</v>
      </c>
      <c r="C96" s="8">
        <v>46132.0</v>
      </c>
      <c r="D96" s="7" t="s">
        <v>19</v>
      </c>
      <c r="E96" s="9">
        <v>0.3854166666666667</v>
      </c>
      <c r="F96" s="4" t="s">
        <v>29</v>
      </c>
      <c r="G96" s="7" t="s">
        <v>27</v>
      </c>
      <c r="H96" s="7">
        <v>40.0</v>
      </c>
      <c r="I96" s="7" t="s">
        <v>21</v>
      </c>
      <c r="J96" s="4" t="s">
        <v>17</v>
      </c>
      <c r="K96" s="10">
        <f t="shared" si="1"/>
        <v>4</v>
      </c>
      <c r="L96" s="10">
        <f t="shared" si="2"/>
        <v>1</v>
      </c>
    </row>
    <row r="97">
      <c r="A97" s="7" t="s">
        <v>131</v>
      </c>
      <c r="B97" s="7">
        <v>41.0</v>
      </c>
      <c r="C97" s="8">
        <v>46160.0</v>
      </c>
      <c r="D97" s="7" t="s">
        <v>19</v>
      </c>
      <c r="E97" s="9">
        <v>0.5625</v>
      </c>
      <c r="F97" s="4" t="s">
        <v>20</v>
      </c>
      <c r="G97" s="7" t="s">
        <v>30</v>
      </c>
      <c r="H97" s="7">
        <v>40.0</v>
      </c>
      <c r="I97" s="7" t="s">
        <v>21</v>
      </c>
      <c r="J97" s="4" t="s">
        <v>31</v>
      </c>
      <c r="K97" s="10">
        <f t="shared" si="1"/>
        <v>5</v>
      </c>
      <c r="L97" s="10">
        <f t="shared" si="2"/>
        <v>1</v>
      </c>
    </row>
    <row r="98">
      <c r="A98" s="7" t="s">
        <v>132</v>
      </c>
      <c r="B98" s="7">
        <v>35.0</v>
      </c>
      <c r="C98" s="8">
        <v>46035.0</v>
      </c>
      <c r="D98" s="7" t="s">
        <v>43</v>
      </c>
      <c r="E98" s="9">
        <v>0.3854166666666667</v>
      </c>
      <c r="F98" s="4" t="s">
        <v>14</v>
      </c>
      <c r="G98" s="7" t="s">
        <v>27</v>
      </c>
      <c r="H98" s="7">
        <v>15.0</v>
      </c>
      <c r="I98" s="7" t="s">
        <v>21</v>
      </c>
      <c r="J98" s="4" t="s">
        <v>31</v>
      </c>
      <c r="K98" s="10">
        <f t="shared" si="1"/>
        <v>1</v>
      </c>
      <c r="L98" s="10">
        <f t="shared" si="2"/>
        <v>2</v>
      </c>
    </row>
    <row r="99">
      <c r="A99" s="7" t="s">
        <v>133</v>
      </c>
      <c r="B99" s="7">
        <v>61.0</v>
      </c>
      <c r="C99" s="8">
        <v>46196.0</v>
      </c>
      <c r="D99" s="7" t="s">
        <v>43</v>
      </c>
      <c r="E99" s="9">
        <v>0.7291666666666666</v>
      </c>
      <c r="F99" s="4" t="s">
        <v>29</v>
      </c>
      <c r="G99" s="7" t="s">
        <v>27</v>
      </c>
      <c r="H99" s="7">
        <v>15.0</v>
      </c>
      <c r="I99" s="7" t="s">
        <v>21</v>
      </c>
      <c r="J99" s="4" t="s">
        <v>31</v>
      </c>
      <c r="K99" s="10">
        <f t="shared" si="1"/>
        <v>6</v>
      </c>
      <c r="L99" s="10">
        <f t="shared" si="2"/>
        <v>2</v>
      </c>
    </row>
    <row r="100">
      <c r="A100" s="7" t="s">
        <v>134</v>
      </c>
      <c r="B100" s="7">
        <v>49.0</v>
      </c>
      <c r="C100" s="8">
        <v>46157.0</v>
      </c>
      <c r="D100" s="7" t="s">
        <v>33</v>
      </c>
      <c r="E100" s="9">
        <v>0.5416666666666666</v>
      </c>
      <c r="F100" s="4" t="s">
        <v>29</v>
      </c>
      <c r="G100" s="7" t="s">
        <v>44</v>
      </c>
      <c r="H100" s="7">
        <v>30.0</v>
      </c>
      <c r="I100" s="7" t="s">
        <v>21</v>
      </c>
      <c r="J100" s="4" t="s">
        <v>31</v>
      </c>
      <c r="K100" s="10">
        <f t="shared" si="1"/>
        <v>5</v>
      </c>
      <c r="L100" s="10">
        <f t="shared" si="2"/>
        <v>5</v>
      </c>
    </row>
    <row r="101">
      <c r="A101" s="7" t="s">
        <v>135</v>
      </c>
      <c r="B101" s="7">
        <v>31.0</v>
      </c>
      <c r="C101" s="8">
        <v>46136.0</v>
      </c>
      <c r="D101" s="7" t="s">
        <v>33</v>
      </c>
      <c r="E101" s="9">
        <v>0.5520833333333334</v>
      </c>
      <c r="F101" s="4" t="s">
        <v>14</v>
      </c>
      <c r="G101" s="7" t="s">
        <v>39</v>
      </c>
      <c r="H101" s="7">
        <v>30.0</v>
      </c>
      <c r="I101" s="7" t="s">
        <v>21</v>
      </c>
      <c r="J101" s="4" t="s">
        <v>17</v>
      </c>
      <c r="K101" s="10">
        <f t="shared" si="1"/>
        <v>4</v>
      </c>
      <c r="L101" s="10">
        <f t="shared" si="2"/>
        <v>5</v>
      </c>
    </row>
    <row r="102">
      <c r="A102" s="7" t="s">
        <v>136</v>
      </c>
      <c r="B102" s="7">
        <v>46.0</v>
      </c>
      <c r="C102" s="8">
        <v>46167.0</v>
      </c>
      <c r="D102" s="7" t="s">
        <v>19</v>
      </c>
      <c r="E102" s="9">
        <v>0.71875</v>
      </c>
      <c r="F102" s="4" t="s">
        <v>20</v>
      </c>
      <c r="G102" s="7" t="s">
        <v>27</v>
      </c>
      <c r="H102" s="7">
        <v>50.0</v>
      </c>
      <c r="I102" s="7" t="s">
        <v>16</v>
      </c>
      <c r="J102" s="4" t="s">
        <v>36</v>
      </c>
      <c r="K102" s="10">
        <f t="shared" si="1"/>
        <v>5</v>
      </c>
      <c r="L102" s="10">
        <f t="shared" si="2"/>
        <v>1</v>
      </c>
    </row>
    <row r="103">
      <c r="A103" s="7" t="s">
        <v>137</v>
      </c>
      <c r="B103" s="7">
        <v>25.0</v>
      </c>
      <c r="C103" s="8">
        <v>46051.0</v>
      </c>
      <c r="D103" s="7" t="s">
        <v>38</v>
      </c>
      <c r="E103" s="9">
        <v>0.3854166666666667</v>
      </c>
      <c r="F103" s="4" t="s">
        <v>14</v>
      </c>
      <c r="G103" s="7" t="s">
        <v>27</v>
      </c>
      <c r="H103" s="7">
        <v>45.0</v>
      </c>
      <c r="I103" s="7" t="s">
        <v>21</v>
      </c>
      <c r="J103" s="4" t="s">
        <v>36</v>
      </c>
      <c r="K103" s="10">
        <f t="shared" si="1"/>
        <v>1</v>
      </c>
      <c r="L103" s="10">
        <f t="shared" si="2"/>
        <v>4</v>
      </c>
    </row>
    <row r="104">
      <c r="A104" s="7" t="s">
        <v>138</v>
      </c>
      <c r="B104" s="7">
        <v>65.0</v>
      </c>
      <c r="C104" s="8">
        <v>46164.0</v>
      </c>
      <c r="D104" s="7" t="s">
        <v>33</v>
      </c>
      <c r="E104" s="9">
        <v>0.5520833333333334</v>
      </c>
      <c r="F104" s="4" t="s">
        <v>29</v>
      </c>
      <c r="G104" s="7" t="s">
        <v>44</v>
      </c>
      <c r="H104" s="7">
        <v>35.0</v>
      </c>
      <c r="I104" s="7" t="s">
        <v>21</v>
      </c>
      <c r="J104" s="4" t="s">
        <v>17</v>
      </c>
      <c r="K104" s="10">
        <f t="shared" si="1"/>
        <v>5</v>
      </c>
      <c r="L104" s="10">
        <f t="shared" si="2"/>
        <v>5</v>
      </c>
    </row>
    <row r="105">
      <c r="A105" s="7" t="s">
        <v>139</v>
      </c>
      <c r="B105" s="7">
        <v>24.0</v>
      </c>
      <c r="C105" s="8">
        <v>46123.0</v>
      </c>
      <c r="D105" s="7" t="s">
        <v>13</v>
      </c>
      <c r="E105" s="9">
        <v>0.5416666666666666</v>
      </c>
      <c r="F105" s="4" t="s">
        <v>14</v>
      </c>
      <c r="G105" s="7" t="s">
        <v>30</v>
      </c>
      <c r="H105" s="7">
        <v>30.0</v>
      </c>
      <c r="I105" s="7" t="s">
        <v>21</v>
      </c>
      <c r="J105" s="4" t="s">
        <v>17</v>
      </c>
      <c r="K105" s="10">
        <f t="shared" si="1"/>
        <v>4</v>
      </c>
      <c r="L105" s="10">
        <f t="shared" si="2"/>
        <v>6</v>
      </c>
    </row>
    <row r="106">
      <c r="A106" s="7" t="s">
        <v>140</v>
      </c>
      <c r="B106" s="7">
        <v>19.0</v>
      </c>
      <c r="C106" s="8">
        <v>46106.0</v>
      </c>
      <c r="D106" s="7" t="s">
        <v>50</v>
      </c>
      <c r="E106" s="9">
        <v>0.5520833333333334</v>
      </c>
      <c r="F106" s="4" t="s">
        <v>29</v>
      </c>
      <c r="G106" s="7" t="s">
        <v>27</v>
      </c>
      <c r="H106" s="7">
        <v>40.0</v>
      </c>
      <c r="I106" s="7" t="s">
        <v>21</v>
      </c>
      <c r="J106" s="4" t="s">
        <v>17</v>
      </c>
      <c r="K106" s="10">
        <f t="shared" si="1"/>
        <v>3</v>
      </c>
      <c r="L106" s="10">
        <f t="shared" si="2"/>
        <v>3</v>
      </c>
    </row>
    <row r="107">
      <c r="A107" s="7" t="s">
        <v>141</v>
      </c>
      <c r="B107" s="7">
        <v>49.0</v>
      </c>
      <c r="C107" s="8">
        <v>46082.0</v>
      </c>
      <c r="D107" s="7" t="s">
        <v>24</v>
      </c>
      <c r="E107" s="9">
        <v>0.3958333333333333</v>
      </c>
      <c r="F107" s="4" t="s">
        <v>29</v>
      </c>
      <c r="G107" s="7" t="s">
        <v>58</v>
      </c>
      <c r="H107" s="7">
        <v>15.0</v>
      </c>
      <c r="I107" s="7" t="s">
        <v>21</v>
      </c>
      <c r="J107" s="4" t="s">
        <v>36</v>
      </c>
      <c r="K107" s="10">
        <f t="shared" si="1"/>
        <v>3</v>
      </c>
      <c r="L107" s="10">
        <f t="shared" si="2"/>
        <v>7</v>
      </c>
    </row>
    <row r="108">
      <c r="A108" s="7" t="s">
        <v>142</v>
      </c>
      <c r="B108" s="7">
        <v>62.0</v>
      </c>
      <c r="C108" s="8">
        <v>46179.0</v>
      </c>
      <c r="D108" s="7" t="s">
        <v>13</v>
      </c>
      <c r="E108" s="9">
        <v>0.71875</v>
      </c>
      <c r="F108" s="4" t="s">
        <v>20</v>
      </c>
      <c r="G108" s="7" t="s">
        <v>15</v>
      </c>
      <c r="H108" s="7">
        <v>25.0</v>
      </c>
      <c r="I108" s="7" t="s">
        <v>21</v>
      </c>
      <c r="J108" s="4" t="s">
        <v>36</v>
      </c>
      <c r="K108" s="10">
        <f t="shared" si="1"/>
        <v>6</v>
      </c>
      <c r="L108" s="10">
        <f t="shared" si="2"/>
        <v>6</v>
      </c>
    </row>
    <row r="109">
      <c r="A109" s="7" t="s">
        <v>143</v>
      </c>
      <c r="B109" s="7">
        <v>69.0</v>
      </c>
      <c r="C109" s="8">
        <v>46172.0</v>
      </c>
      <c r="D109" s="7" t="s">
        <v>13</v>
      </c>
      <c r="E109" s="9">
        <v>0.71875</v>
      </c>
      <c r="F109" s="4" t="s">
        <v>14</v>
      </c>
      <c r="G109" s="7" t="s">
        <v>27</v>
      </c>
      <c r="H109" s="7">
        <v>15.0</v>
      </c>
      <c r="I109" s="7" t="s">
        <v>16</v>
      </c>
      <c r="J109" s="4" t="s">
        <v>31</v>
      </c>
      <c r="K109" s="10">
        <f t="shared" si="1"/>
        <v>5</v>
      </c>
      <c r="L109" s="10">
        <f t="shared" si="2"/>
        <v>6</v>
      </c>
    </row>
    <row r="110">
      <c r="A110" s="7" t="s">
        <v>144</v>
      </c>
      <c r="B110" s="7">
        <v>78.0</v>
      </c>
      <c r="C110" s="8">
        <v>46091.0</v>
      </c>
      <c r="D110" s="7" t="s">
        <v>43</v>
      </c>
      <c r="E110" s="9">
        <v>0.3958333333333333</v>
      </c>
      <c r="F110" s="4" t="s">
        <v>14</v>
      </c>
      <c r="G110" s="7" t="s">
        <v>25</v>
      </c>
      <c r="H110" s="7">
        <v>45.0</v>
      </c>
      <c r="I110" s="7" t="s">
        <v>21</v>
      </c>
      <c r="J110" s="4" t="s">
        <v>17</v>
      </c>
      <c r="K110" s="10">
        <f t="shared" si="1"/>
        <v>3</v>
      </c>
      <c r="L110" s="10">
        <f t="shared" si="2"/>
        <v>2</v>
      </c>
    </row>
    <row r="111">
      <c r="A111" s="7" t="s">
        <v>145</v>
      </c>
      <c r="B111" s="7">
        <v>31.0</v>
      </c>
      <c r="C111" s="8">
        <v>46168.0</v>
      </c>
      <c r="D111" s="7" t="s">
        <v>43</v>
      </c>
      <c r="E111" s="9">
        <v>0.5416666666666666</v>
      </c>
      <c r="F111" s="4" t="s">
        <v>14</v>
      </c>
      <c r="G111" s="7" t="s">
        <v>39</v>
      </c>
      <c r="H111" s="7">
        <v>50.0</v>
      </c>
      <c r="I111" s="7" t="s">
        <v>21</v>
      </c>
      <c r="J111" s="4" t="s">
        <v>17</v>
      </c>
      <c r="K111" s="10">
        <f t="shared" si="1"/>
        <v>5</v>
      </c>
      <c r="L111" s="10">
        <f t="shared" si="2"/>
        <v>2</v>
      </c>
    </row>
    <row r="112">
      <c r="A112" s="7" t="s">
        <v>146</v>
      </c>
      <c r="B112" s="7">
        <v>73.0</v>
      </c>
      <c r="C112" s="8">
        <v>46077.0</v>
      </c>
      <c r="D112" s="7" t="s">
        <v>43</v>
      </c>
      <c r="E112" s="9">
        <v>0.3958333333333333</v>
      </c>
      <c r="F112" s="4" t="s">
        <v>14</v>
      </c>
      <c r="G112" s="7" t="s">
        <v>58</v>
      </c>
      <c r="H112" s="7">
        <v>60.0</v>
      </c>
      <c r="I112" s="7" t="s">
        <v>21</v>
      </c>
      <c r="J112" s="4" t="s">
        <v>36</v>
      </c>
      <c r="K112" s="10">
        <f t="shared" si="1"/>
        <v>2</v>
      </c>
      <c r="L112" s="10">
        <f t="shared" si="2"/>
        <v>2</v>
      </c>
    </row>
    <row r="113">
      <c r="A113" s="7" t="s">
        <v>147</v>
      </c>
      <c r="B113" s="7">
        <v>49.0</v>
      </c>
      <c r="C113" s="8">
        <v>46042.0</v>
      </c>
      <c r="D113" s="7" t="s">
        <v>43</v>
      </c>
      <c r="E113" s="9">
        <v>0.5416666666666666</v>
      </c>
      <c r="F113" s="4" t="s">
        <v>20</v>
      </c>
      <c r="G113" s="7" t="s">
        <v>27</v>
      </c>
      <c r="H113" s="7">
        <v>60.0</v>
      </c>
      <c r="I113" s="7" t="s">
        <v>21</v>
      </c>
      <c r="J113" s="4" t="s">
        <v>36</v>
      </c>
      <c r="K113" s="10">
        <f t="shared" si="1"/>
        <v>1</v>
      </c>
      <c r="L113" s="10">
        <f t="shared" si="2"/>
        <v>2</v>
      </c>
    </row>
    <row r="114">
      <c r="A114" s="7" t="s">
        <v>148</v>
      </c>
      <c r="B114" s="7">
        <v>61.0</v>
      </c>
      <c r="C114" s="8">
        <v>46152.0</v>
      </c>
      <c r="D114" s="7" t="s">
        <v>24</v>
      </c>
      <c r="E114" s="9">
        <v>0.3854166666666667</v>
      </c>
      <c r="F114" s="4" t="s">
        <v>14</v>
      </c>
      <c r="G114" s="7" t="s">
        <v>25</v>
      </c>
      <c r="H114" s="7">
        <v>25.0</v>
      </c>
      <c r="I114" s="7" t="s">
        <v>21</v>
      </c>
      <c r="J114" s="4" t="s">
        <v>17</v>
      </c>
      <c r="K114" s="10">
        <f t="shared" si="1"/>
        <v>5</v>
      </c>
      <c r="L114" s="10">
        <f t="shared" si="2"/>
        <v>7</v>
      </c>
    </row>
    <row r="115">
      <c r="A115" s="7" t="s">
        <v>149</v>
      </c>
      <c r="B115" s="7">
        <v>43.0</v>
      </c>
      <c r="C115" s="8">
        <v>46100.0</v>
      </c>
      <c r="D115" s="7" t="s">
        <v>38</v>
      </c>
      <c r="E115" s="9">
        <v>0.5520833333333334</v>
      </c>
      <c r="F115" s="4" t="s">
        <v>29</v>
      </c>
      <c r="G115" s="7" t="s">
        <v>39</v>
      </c>
      <c r="H115" s="7">
        <v>45.0</v>
      </c>
      <c r="I115" s="7" t="s">
        <v>21</v>
      </c>
      <c r="J115" s="4" t="s">
        <v>31</v>
      </c>
      <c r="K115" s="10">
        <f t="shared" si="1"/>
        <v>3</v>
      </c>
      <c r="L115" s="10">
        <f t="shared" si="2"/>
        <v>4</v>
      </c>
    </row>
    <row r="116">
      <c r="A116" s="7" t="s">
        <v>150</v>
      </c>
      <c r="B116" s="7">
        <v>61.0</v>
      </c>
      <c r="C116" s="8">
        <v>46056.0</v>
      </c>
      <c r="D116" s="7" t="s">
        <v>43</v>
      </c>
      <c r="E116" s="9">
        <v>0.5625</v>
      </c>
      <c r="F116" s="4" t="s">
        <v>20</v>
      </c>
      <c r="G116" s="7" t="s">
        <v>15</v>
      </c>
      <c r="H116" s="7">
        <v>30.0</v>
      </c>
      <c r="I116" s="7" t="s">
        <v>21</v>
      </c>
      <c r="J116" s="4" t="s">
        <v>22</v>
      </c>
      <c r="K116" s="10">
        <f t="shared" si="1"/>
        <v>2</v>
      </c>
      <c r="L116" s="10">
        <f t="shared" si="2"/>
        <v>2</v>
      </c>
    </row>
    <row r="117">
      <c r="A117" s="7" t="s">
        <v>151</v>
      </c>
      <c r="B117" s="7">
        <v>71.0</v>
      </c>
      <c r="C117" s="8">
        <v>46141.0</v>
      </c>
      <c r="D117" s="7" t="s">
        <v>50</v>
      </c>
      <c r="E117" s="9">
        <v>0.5520833333333334</v>
      </c>
      <c r="F117" s="4" t="s">
        <v>29</v>
      </c>
      <c r="G117" s="7" t="s">
        <v>44</v>
      </c>
      <c r="H117" s="7">
        <v>45.0</v>
      </c>
      <c r="I117" s="7" t="s">
        <v>21</v>
      </c>
      <c r="J117" s="4" t="s">
        <v>31</v>
      </c>
      <c r="K117" s="10">
        <f t="shared" si="1"/>
        <v>4</v>
      </c>
      <c r="L117" s="10">
        <f t="shared" si="2"/>
        <v>3</v>
      </c>
    </row>
    <row r="118">
      <c r="A118" s="7" t="s">
        <v>152</v>
      </c>
      <c r="B118" s="7">
        <v>21.0</v>
      </c>
      <c r="C118" s="8">
        <v>46123.0</v>
      </c>
      <c r="D118" s="7" t="s">
        <v>13</v>
      </c>
      <c r="E118" s="9">
        <v>0.3854166666666667</v>
      </c>
      <c r="F118" s="4" t="s">
        <v>20</v>
      </c>
      <c r="G118" s="7" t="s">
        <v>27</v>
      </c>
      <c r="H118" s="7">
        <v>20.0</v>
      </c>
      <c r="I118" s="7" t="s">
        <v>16</v>
      </c>
      <c r="J118" s="4" t="s">
        <v>31</v>
      </c>
      <c r="K118" s="10">
        <f t="shared" si="1"/>
        <v>4</v>
      </c>
      <c r="L118" s="10">
        <f t="shared" si="2"/>
        <v>6</v>
      </c>
    </row>
    <row r="119">
      <c r="A119" s="7" t="s">
        <v>153</v>
      </c>
      <c r="B119" s="7">
        <v>73.0</v>
      </c>
      <c r="C119" s="8">
        <v>46071.0</v>
      </c>
      <c r="D119" s="7" t="s">
        <v>50</v>
      </c>
      <c r="E119" s="9">
        <v>0.5416666666666666</v>
      </c>
      <c r="F119" s="4" t="s">
        <v>29</v>
      </c>
      <c r="G119" s="7" t="s">
        <v>58</v>
      </c>
      <c r="H119" s="7">
        <v>25.0</v>
      </c>
      <c r="I119" s="7" t="s">
        <v>21</v>
      </c>
      <c r="J119" s="4" t="s">
        <v>17</v>
      </c>
      <c r="K119" s="10">
        <f t="shared" si="1"/>
        <v>2</v>
      </c>
      <c r="L119" s="10">
        <f t="shared" si="2"/>
        <v>3</v>
      </c>
    </row>
    <row r="120">
      <c r="A120" s="7" t="s">
        <v>154</v>
      </c>
      <c r="B120" s="7">
        <v>31.0</v>
      </c>
      <c r="C120" s="8">
        <v>46095.0</v>
      </c>
      <c r="D120" s="7" t="s">
        <v>13</v>
      </c>
      <c r="E120" s="9">
        <v>0.5416666666666666</v>
      </c>
      <c r="F120" s="4" t="s">
        <v>14</v>
      </c>
      <c r="G120" s="7" t="s">
        <v>27</v>
      </c>
      <c r="H120" s="7">
        <v>20.0</v>
      </c>
      <c r="I120" s="7" t="s">
        <v>21</v>
      </c>
      <c r="J120" s="4" t="s">
        <v>17</v>
      </c>
      <c r="K120" s="10">
        <f t="shared" si="1"/>
        <v>3</v>
      </c>
      <c r="L120" s="10">
        <f t="shared" si="2"/>
        <v>6</v>
      </c>
    </row>
    <row r="121">
      <c r="A121" s="7" t="s">
        <v>155</v>
      </c>
      <c r="B121" s="7">
        <v>74.0</v>
      </c>
      <c r="C121" s="8">
        <v>46137.0</v>
      </c>
      <c r="D121" s="7" t="s">
        <v>13</v>
      </c>
      <c r="E121" s="9">
        <v>0.375</v>
      </c>
      <c r="F121" s="4" t="s">
        <v>14</v>
      </c>
      <c r="G121" s="7" t="s">
        <v>27</v>
      </c>
      <c r="H121" s="7">
        <v>20.0</v>
      </c>
      <c r="I121" s="7" t="s">
        <v>21</v>
      </c>
      <c r="J121" s="4" t="s">
        <v>22</v>
      </c>
      <c r="K121" s="10">
        <f t="shared" si="1"/>
        <v>4</v>
      </c>
      <c r="L121" s="10">
        <f t="shared" si="2"/>
        <v>6</v>
      </c>
    </row>
    <row r="122">
      <c r="A122" s="7" t="s">
        <v>156</v>
      </c>
      <c r="B122" s="7">
        <v>29.0</v>
      </c>
      <c r="C122" s="8">
        <v>46150.0</v>
      </c>
      <c r="D122" s="7" t="s">
        <v>33</v>
      </c>
      <c r="E122" s="9">
        <v>0.3958333333333333</v>
      </c>
      <c r="F122" s="4" t="s">
        <v>20</v>
      </c>
      <c r="G122" s="7" t="s">
        <v>27</v>
      </c>
      <c r="H122" s="7">
        <v>60.0</v>
      </c>
      <c r="I122" s="7" t="s">
        <v>21</v>
      </c>
      <c r="J122" s="4" t="s">
        <v>36</v>
      </c>
      <c r="K122" s="10">
        <f t="shared" si="1"/>
        <v>5</v>
      </c>
      <c r="L122" s="10">
        <f t="shared" si="2"/>
        <v>5</v>
      </c>
    </row>
    <row r="123">
      <c r="A123" s="7" t="s">
        <v>157</v>
      </c>
      <c r="B123" s="7">
        <v>79.0</v>
      </c>
      <c r="C123" s="8">
        <v>46059.0</v>
      </c>
      <c r="D123" s="7" t="s">
        <v>33</v>
      </c>
      <c r="E123" s="9">
        <v>0.5520833333333334</v>
      </c>
      <c r="F123" s="4" t="s">
        <v>20</v>
      </c>
      <c r="G123" s="7" t="s">
        <v>25</v>
      </c>
      <c r="H123" s="7">
        <v>25.0</v>
      </c>
      <c r="I123" s="7" t="s">
        <v>21</v>
      </c>
      <c r="J123" s="4" t="s">
        <v>22</v>
      </c>
      <c r="K123" s="10">
        <f t="shared" si="1"/>
        <v>2</v>
      </c>
      <c r="L123" s="10">
        <f t="shared" si="2"/>
        <v>5</v>
      </c>
    </row>
    <row r="124">
      <c r="A124" s="7" t="s">
        <v>158</v>
      </c>
      <c r="B124" s="7">
        <v>64.0</v>
      </c>
      <c r="C124" s="8">
        <v>46117.0</v>
      </c>
      <c r="D124" s="7" t="s">
        <v>24</v>
      </c>
      <c r="E124" s="9">
        <v>0.5416666666666666</v>
      </c>
      <c r="F124" s="4" t="s">
        <v>29</v>
      </c>
      <c r="G124" s="7" t="s">
        <v>44</v>
      </c>
      <c r="H124" s="7">
        <v>20.0</v>
      </c>
      <c r="I124" s="7" t="s">
        <v>21</v>
      </c>
      <c r="J124" s="4" t="s">
        <v>22</v>
      </c>
      <c r="K124" s="10">
        <f t="shared" si="1"/>
        <v>4</v>
      </c>
      <c r="L124" s="10">
        <f t="shared" si="2"/>
        <v>7</v>
      </c>
    </row>
    <row r="125">
      <c r="A125" s="7" t="s">
        <v>159</v>
      </c>
      <c r="B125" s="7">
        <v>69.0</v>
      </c>
      <c r="C125" s="8">
        <v>46185.0</v>
      </c>
      <c r="D125" s="7" t="s">
        <v>33</v>
      </c>
      <c r="E125" s="9">
        <v>0.5520833333333334</v>
      </c>
      <c r="F125" s="4" t="s">
        <v>29</v>
      </c>
      <c r="G125" s="7" t="s">
        <v>44</v>
      </c>
      <c r="H125" s="7">
        <v>25.0</v>
      </c>
      <c r="I125" s="7" t="s">
        <v>21</v>
      </c>
      <c r="J125" s="4" t="s">
        <v>31</v>
      </c>
      <c r="K125" s="10">
        <f t="shared" si="1"/>
        <v>6</v>
      </c>
      <c r="L125" s="10">
        <f t="shared" si="2"/>
        <v>5</v>
      </c>
    </row>
    <row r="126">
      <c r="A126" s="7" t="s">
        <v>160</v>
      </c>
      <c r="B126" s="7">
        <v>18.0</v>
      </c>
      <c r="C126" s="8">
        <v>46067.0</v>
      </c>
      <c r="D126" s="7" t="s">
        <v>13</v>
      </c>
      <c r="E126" s="9">
        <v>0.5625</v>
      </c>
      <c r="F126" s="4" t="s">
        <v>14</v>
      </c>
      <c r="G126" s="7" t="s">
        <v>30</v>
      </c>
      <c r="H126" s="7">
        <v>15.0</v>
      </c>
      <c r="I126" s="7" t="s">
        <v>16</v>
      </c>
      <c r="J126" s="4" t="s">
        <v>31</v>
      </c>
      <c r="K126" s="10">
        <f t="shared" si="1"/>
        <v>2</v>
      </c>
      <c r="L126" s="10">
        <f t="shared" si="2"/>
        <v>6</v>
      </c>
    </row>
    <row r="127">
      <c r="A127" s="7" t="s">
        <v>161</v>
      </c>
      <c r="B127" s="7">
        <v>66.0</v>
      </c>
      <c r="C127" s="8">
        <v>46201.0</v>
      </c>
      <c r="D127" s="7" t="s">
        <v>24</v>
      </c>
      <c r="E127" s="9">
        <v>0.3854166666666667</v>
      </c>
      <c r="F127" s="4" t="s">
        <v>29</v>
      </c>
      <c r="G127" s="7" t="s">
        <v>27</v>
      </c>
      <c r="H127" s="7">
        <v>15.0</v>
      </c>
      <c r="I127" s="7" t="s">
        <v>21</v>
      </c>
      <c r="J127" s="4" t="s">
        <v>17</v>
      </c>
      <c r="K127" s="10">
        <f t="shared" si="1"/>
        <v>6</v>
      </c>
      <c r="L127" s="10">
        <f t="shared" si="2"/>
        <v>7</v>
      </c>
    </row>
    <row r="128">
      <c r="A128" s="7" t="s">
        <v>162</v>
      </c>
      <c r="B128" s="7">
        <v>48.0</v>
      </c>
      <c r="C128" s="8">
        <v>46028.0</v>
      </c>
      <c r="D128" s="7" t="s">
        <v>43</v>
      </c>
      <c r="E128" s="9">
        <v>0.7083333333333334</v>
      </c>
      <c r="F128" s="4" t="s">
        <v>29</v>
      </c>
      <c r="G128" s="7" t="s">
        <v>27</v>
      </c>
      <c r="H128" s="7">
        <v>25.0</v>
      </c>
      <c r="I128" s="7" t="s">
        <v>16</v>
      </c>
      <c r="J128" s="4" t="s">
        <v>36</v>
      </c>
      <c r="K128" s="10">
        <f t="shared" si="1"/>
        <v>1</v>
      </c>
      <c r="L128" s="10">
        <f t="shared" si="2"/>
        <v>2</v>
      </c>
    </row>
    <row r="129">
      <c r="A129" s="7" t="s">
        <v>163</v>
      </c>
      <c r="B129" s="7">
        <v>18.0</v>
      </c>
      <c r="C129" s="8">
        <v>46063.0</v>
      </c>
      <c r="D129" s="7" t="s">
        <v>43</v>
      </c>
      <c r="E129" s="9">
        <v>0.375</v>
      </c>
      <c r="F129" s="4" t="s">
        <v>29</v>
      </c>
      <c r="G129" s="7" t="s">
        <v>30</v>
      </c>
      <c r="H129" s="7">
        <v>20.0</v>
      </c>
      <c r="I129" s="7" t="s">
        <v>21</v>
      </c>
      <c r="J129" s="4" t="s">
        <v>36</v>
      </c>
      <c r="K129" s="10">
        <f t="shared" si="1"/>
        <v>2</v>
      </c>
      <c r="L129" s="10">
        <f t="shared" si="2"/>
        <v>2</v>
      </c>
    </row>
    <row r="130">
      <c r="A130" s="7" t="s">
        <v>164</v>
      </c>
      <c r="B130" s="7">
        <v>71.0</v>
      </c>
      <c r="C130" s="8">
        <v>46067.0</v>
      </c>
      <c r="D130" s="7" t="s">
        <v>13</v>
      </c>
      <c r="E130" s="9">
        <v>0.5416666666666666</v>
      </c>
      <c r="F130" s="4" t="s">
        <v>14</v>
      </c>
      <c r="G130" s="7" t="s">
        <v>25</v>
      </c>
      <c r="H130" s="7">
        <v>15.0</v>
      </c>
      <c r="I130" s="7" t="s">
        <v>21</v>
      </c>
      <c r="J130" s="4" t="s">
        <v>36</v>
      </c>
      <c r="K130" s="10">
        <f t="shared" si="1"/>
        <v>2</v>
      </c>
      <c r="L130" s="10">
        <f t="shared" si="2"/>
        <v>6</v>
      </c>
    </row>
    <row r="131">
      <c r="A131" s="7" t="s">
        <v>165</v>
      </c>
      <c r="B131" s="7">
        <v>59.0</v>
      </c>
      <c r="C131" s="8">
        <v>46120.0</v>
      </c>
      <c r="D131" s="7" t="s">
        <v>50</v>
      </c>
      <c r="E131" s="9">
        <v>0.5520833333333334</v>
      </c>
      <c r="F131" s="4" t="s">
        <v>29</v>
      </c>
      <c r="G131" s="7" t="s">
        <v>39</v>
      </c>
      <c r="H131" s="7">
        <v>40.0</v>
      </c>
      <c r="I131" s="7" t="s">
        <v>21</v>
      </c>
      <c r="J131" s="4" t="s">
        <v>36</v>
      </c>
      <c r="K131" s="10">
        <f t="shared" si="1"/>
        <v>4</v>
      </c>
      <c r="L131" s="10">
        <f t="shared" si="2"/>
        <v>3</v>
      </c>
    </row>
    <row r="132">
      <c r="A132" s="7" t="s">
        <v>166</v>
      </c>
      <c r="B132" s="7">
        <v>50.0</v>
      </c>
      <c r="C132" s="8">
        <v>46152.0</v>
      </c>
      <c r="D132" s="7" t="s">
        <v>24</v>
      </c>
      <c r="E132" s="9">
        <v>0.71875</v>
      </c>
      <c r="F132" s="4" t="s">
        <v>14</v>
      </c>
      <c r="G132" s="7" t="s">
        <v>58</v>
      </c>
      <c r="H132" s="7">
        <v>30.0</v>
      </c>
      <c r="I132" s="7" t="s">
        <v>21</v>
      </c>
      <c r="J132" s="4" t="s">
        <v>36</v>
      </c>
      <c r="K132" s="10">
        <f t="shared" si="1"/>
        <v>5</v>
      </c>
      <c r="L132" s="10">
        <f t="shared" si="2"/>
        <v>7</v>
      </c>
    </row>
    <row r="133">
      <c r="A133" s="7" t="s">
        <v>167</v>
      </c>
      <c r="B133" s="7">
        <v>76.0</v>
      </c>
      <c r="C133" s="8">
        <v>46202.0</v>
      </c>
      <c r="D133" s="7" t="s">
        <v>19</v>
      </c>
      <c r="E133" s="9">
        <v>0.5416666666666666</v>
      </c>
      <c r="F133" s="4" t="s">
        <v>14</v>
      </c>
      <c r="G133" s="7" t="s">
        <v>15</v>
      </c>
      <c r="H133" s="7">
        <v>60.0</v>
      </c>
      <c r="I133" s="7" t="s">
        <v>21</v>
      </c>
      <c r="J133" s="4" t="s">
        <v>36</v>
      </c>
      <c r="K133" s="10">
        <f t="shared" si="1"/>
        <v>6</v>
      </c>
      <c r="L133" s="10">
        <f t="shared" si="2"/>
        <v>1</v>
      </c>
    </row>
    <row r="134">
      <c r="A134" s="7" t="s">
        <v>168</v>
      </c>
      <c r="B134" s="7">
        <v>78.0</v>
      </c>
      <c r="C134" s="8">
        <v>46091.0</v>
      </c>
      <c r="D134" s="7" t="s">
        <v>43</v>
      </c>
      <c r="E134" s="9">
        <v>0.3958333333333333</v>
      </c>
      <c r="F134" s="4" t="s">
        <v>29</v>
      </c>
      <c r="G134" s="7" t="s">
        <v>15</v>
      </c>
      <c r="H134" s="7">
        <v>15.0</v>
      </c>
      <c r="I134" s="7" t="s">
        <v>21</v>
      </c>
      <c r="J134" s="4" t="s">
        <v>17</v>
      </c>
      <c r="K134" s="10">
        <f t="shared" si="1"/>
        <v>3</v>
      </c>
      <c r="L134" s="10">
        <f t="shared" si="2"/>
        <v>2</v>
      </c>
    </row>
    <row r="135">
      <c r="A135" s="7" t="s">
        <v>169</v>
      </c>
      <c r="B135" s="7">
        <v>78.0</v>
      </c>
      <c r="C135" s="8">
        <v>46038.0</v>
      </c>
      <c r="D135" s="7" t="s">
        <v>33</v>
      </c>
      <c r="E135" s="9">
        <v>0.3958333333333333</v>
      </c>
      <c r="F135" s="4" t="s">
        <v>29</v>
      </c>
      <c r="G135" s="7" t="s">
        <v>15</v>
      </c>
      <c r="H135" s="7">
        <v>25.0</v>
      </c>
      <c r="I135" s="7" t="s">
        <v>21</v>
      </c>
      <c r="J135" s="4" t="s">
        <v>22</v>
      </c>
      <c r="K135" s="10">
        <f t="shared" si="1"/>
        <v>1</v>
      </c>
      <c r="L135" s="10">
        <f t="shared" si="2"/>
        <v>5</v>
      </c>
    </row>
    <row r="136">
      <c r="A136" s="7" t="s">
        <v>170</v>
      </c>
      <c r="B136" s="7">
        <v>39.0</v>
      </c>
      <c r="C136" s="8">
        <v>46037.0</v>
      </c>
      <c r="D136" s="7" t="s">
        <v>38</v>
      </c>
      <c r="E136" s="9">
        <v>0.3958333333333333</v>
      </c>
      <c r="F136" s="4" t="s">
        <v>14</v>
      </c>
      <c r="G136" s="7" t="s">
        <v>39</v>
      </c>
      <c r="H136" s="7">
        <v>45.0</v>
      </c>
      <c r="I136" s="7" t="s">
        <v>21</v>
      </c>
      <c r="J136" s="4" t="s">
        <v>36</v>
      </c>
      <c r="K136" s="10">
        <f t="shared" si="1"/>
        <v>1</v>
      </c>
      <c r="L136" s="10">
        <f t="shared" si="2"/>
        <v>4</v>
      </c>
    </row>
    <row r="137">
      <c r="A137" s="7" t="s">
        <v>171</v>
      </c>
      <c r="B137" s="7">
        <v>53.0</v>
      </c>
      <c r="C137" s="8">
        <v>46043.0</v>
      </c>
      <c r="D137" s="7" t="s">
        <v>50</v>
      </c>
      <c r="E137" s="9">
        <v>0.5625</v>
      </c>
      <c r="F137" s="4" t="s">
        <v>20</v>
      </c>
      <c r="G137" s="7" t="s">
        <v>39</v>
      </c>
      <c r="H137" s="7">
        <v>25.0</v>
      </c>
      <c r="I137" s="7" t="s">
        <v>21</v>
      </c>
      <c r="J137" s="4" t="s">
        <v>36</v>
      </c>
      <c r="K137" s="10">
        <f t="shared" si="1"/>
        <v>1</v>
      </c>
      <c r="L137" s="10">
        <f t="shared" si="2"/>
        <v>3</v>
      </c>
    </row>
    <row r="138">
      <c r="A138" s="7" t="s">
        <v>172</v>
      </c>
      <c r="B138" s="7">
        <v>29.0</v>
      </c>
      <c r="C138" s="8">
        <v>46024.0</v>
      </c>
      <c r="D138" s="7" t="s">
        <v>33</v>
      </c>
      <c r="E138" s="9">
        <v>0.7291666666666666</v>
      </c>
      <c r="F138" s="4" t="s">
        <v>29</v>
      </c>
      <c r="G138" s="7" t="s">
        <v>30</v>
      </c>
      <c r="H138" s="7">
        <v>60.0</v>
      </c>
      <c r="I138" s="7" t="s">
        <v>21</v>
      </c>
      <c r="J138" s="4" t="s">
        <v>36</v>
      </c>
      <c r="K138" s="10">
        <f t="shared" si="1"/>
        <v>1</v>
      </c>
      <c r="L138" s="10">
        <f t="shared" si="2"/>
        <v>5</v>
      </c>
    </row>
    <row r="139">
      <c r="A139" s="7" t="s">
        <v>173</v>
      </c>
      <c r="B139" s="7">
        <v>76.0</v>
      </c>
      <c r="C139" s="8">
        <v>46203.0</v>
      </c>
      <c r="D139" s="7" t="s">
        <v>43</v>
      </c>
      <c r="E139" s="9">
        <v>0.5416666666666666</v>
      </c>
      <c r="F139" s="4" t="s">
        <v>29</v>
      </c>
      <c r="G139" s="7" t="s">
        <v>39</v>
      </c>
      <c r="H139" s="7">
        <v>25.0</v>
      </c>
      <c r="I139" s="7" t="s">
        <v>21</v>
      </c>
      <c r="J139" s="4" t="s">
        <v>36</v>
      </c>
      <c r="K139" s="10">
        <f t="shared" si="1"/>
        <v>6</v>
      </c>
      <c r="L139" s="10">
        <f t="shared" si="2"/>
        <v>2</v>
      </c>
    </row>
    <row r="140">
      <c r="A140" s="7" t="s">
        <v>174</v>
      </c>
      <c r="B140" s="7">
        <v>66.0</v>
      </c>
      <c r="C140" s="8">
        <v>46185.0</v>
      </c>
      <c r="D140" s="7" t="s">
        <v>33</v>
      </c>
      <c r="E140" s="9">
        <v>0.5625</v>
      </c>
      <c r="F140" s="4" t="s">
        <v>29</v>
      </c>
      <c r="G140" s="7" t="s">
        <v>39</v>
      </c>
      <c r="H140" s="7">
        <v>20.0</v>
      </c>
      <c r="I140" s="7" t="s">
        <v>16</v>
      </c>
      <c r="J140" s="4" t="s">
        <v>22</v>
      </c>
      <c r="K140" s="10">
        <f t="shared" si="1"/>
        <v>6</v>
      </c>
      <c r="L140" s="10">
        <f t="shared" si="2"/>
        <v>5</v>
      </c>
    </row>
    <row r="141">
      <c r="A141" s="7" t="s">
        <v>175</v>
      </c>
      <c r="B141" s="7">
        <v>29.0</v>
      </c>
      <c r="C141" s="8">
        <v>46062.0</v>
      </c>
      <c r="D141" s="7" t="s">
        <v>19</v>
      </c>
      <c r="E141" s="9">
        <v>0.3958333333333333</v>
      </c>
      <c r="F141" s="4" t="s">
        <v>20</v>
      </c>
      <c r="G141" s="7" t="s">
        <v>44</v>
      </c>
      <c r="H141" s="7">
        <v>60.0</v>
      </c>
      <c r="I141" s="7" t="s">
        <v>21</v>
      </c>
      <c r="J141" s="4" t="s">
        <v>17</v>
      </c>
      <c r="K141" s="10">
        <f t="shared" si="1"/>
        <v>2</v>
      </c>
      <c r="L141" s="10">
        <f t="shared" si="2"/>
        <v>1</v>
      </c>
    </row>
    <row r="142">
      <c r="A142" s="7" t="s">
        <v>176</v>
      </c>
      <c r="B142" s="7">
        <v>45.0</v>
      </c>
      <c r="C142" s="8">
        <v>46065.0</v>
      </c>
      <c r="D142" s="7" t="s">
        <v>38</v>
      </c>
      <c r="E142" s="9">
        <v>0.71875</v>
      </c>
      <c r="F142" s="4" t="s">
        <v>14</v>
      </c>
      <c r="G142" s="7" t="s">
        <v>39</v>
      </c>
      <c r="H142" s="7">
        <v>15.0</v>
      </c>
      <c r="I142" s="7" t="s">
        <v>21</v>
      </c>
      <c r="J142" s="4" t="s">
        <v>36</v>
      </c>
      <c r="K142" s="10">
        <f t="shared" si="1"/>
        <v>2</v>
      </c>
      <c r="L142" s="10">
        <f t="shared" si="2"/>
        <v>4</v>
      </c>
    </row>
    <row r="143">
      <c r="A143" s="7" t="s">
        <v>177</v>
      </c>
      <c r="B143" s="7">
        <v>77.0</v>
      </c>
      <c r="C143" s="8">
        <v>46024.0</v>
      </c>
      <c r="D143" s="7" t="s">
        <v>33</v>
      </c>
      <c r="E143" s="9">
        <v>0.7083333333333334</v>
      </c>
      <c r="F143" s="4" t="s">
        <v>29</v>
      </c>
      <c r="G143" s="7" t="s">
        <v>39</v>
      </c>
      <c r="H143" s="7">
        <v>15.0</v>
      </c>
      <c r="I143" s="7" t="s">
        <v>21</v>
      </c>
      <c r="J143" s="4" t="s">
        <v>17</v>
      </c>
      <c r="K143" s="10">
        <f t="shared" si="1"/>
        <v>1</v>
      </c>
      <c r="L143" s="10">
        <f t="shared" si="2"/>
        <v>5</v>
      </c>
    </row>
    <row r="144">
      <c r="A144" s="7" t="s">
        <v>178</v>
      </c>
      <c r="B144" s="7">
        <v>49.0</v>
      </c>
      <c r="C144" s="8">
        <v>46027.0</v>
      </c>
      <c r="D144" s="7" t="s">
        <v>19</v>
      </c>
      <c r="E144" s="9">
        <v>0.71875</v>
      </c>
      <c r="F144" s="4" t="s">
        <v>29</v>
      </c>
      <c r="G144" s="7" t="s">
        <v>58</v>
      </c>
      <c r="H144" s="7">
        <v>15.0</v>
      </c>
      <c r="I144" s="7" t="s">
        <v>21</v>
      </c>
      <c r="J144" s="4" t="s">
        <v>31</v>
      </c>
      <c r="K144" s="10">
        <f t="shared" si="1"/>
        <v>1</v>
      </c>
      <c r="L144" s="10">
        <f t="shared" si="2"/>
        <v>1</v>
      </c>
    </row>
    <row r="145">
      <c r="A145" s="7" t="s">
        <v>179</v>
      </c>
      <c r="B145" s="7">
        <v>43.0</v>
      </c>
      <c r="C145" s="8">
        <v>46036.0</v>
      </c>
      <c r="D145" s="7" t="s">
        <v>50</v>
      </c>
      <c r="E145" s="9">
        <v>0.5416666666666666</v>
      </c>
      <c r="F145" s="4" t="s">
        <v>20</v>
      </c>
      <c r="G145" s="7" t="s">
        <v>44</v>
      </c>
      <c r="H145" s="7">
        <v>60.0</v>
      </c>
      <c r="I145" s="7" t="s">
        <v>21</v>
      </c>
      <c r="J145" s="4" t="s">
        <v>36</v>
      </c>
      <c r="K145" s="10">
        <f t="shared" si="1"/>
        <v>1</v>
      </c>
      <c r="L145" s="10">
        <f t="shared" si="2"/>
        <v>3</v>
      </c>
    </row>
    <row r="146">
      <c r="A146" s="7" t="s">
        <v>180</v>
      </c>
      <c r="B146" s="7">
        <v>20.0</v>
      </c>
      <c r="C146" s="8">
        <v>46193.0</v>
      </c>
      <c r="D146" s="7" t="s">
        <v>13</v>
      </c>
      <c r="E146" s="9">
        <v>0.5625</v>
      </c>
      <c r="F146" s="4" t="s">
        <v>14</v>
      </c>
      <c r="G146" s="7" t="s">
        <v>35</v>
      </c>
      <c r="H146" s="7">
        <v>30.0</v>
      </c>
      <c r="I146" s="7" t="s">
        <v>21</v>
      </c>
      <c r="J146" s="4" t="s">
        <v>22</v>
      </c>
      <c r="K146" s="10">
        <f t="shared" si="1"/>
        <v>6</v>
      </c>
      <c r="L146" s="10">
        <f t="shared" si="2"/>
        <v>6</v>
      </c>
    </row>
    <row r="147">
      <c r="A147" s="7" t="s">
        <v>181</v>
      </c>
      <c r="B147" s="7">
        <v>35.0</v>
      </c>
      <c r="C147" s="8">
        <v>46040.0</v>
      </c>
      <c r="D147" s="7" t="s">
        <v>24</v>
      </c>
      <c r="E147" s="9">
        <v>0.71875</v>
      </c>
      <c r="F147" s="4" t="s">
        <v>20</v>
      </c>
      <c r="G147" s="7" t="s">
        <v>25</v>
      </c>
      <c r="H147" s="7">
        <v>60.0</v>
      </c>
      <c r="I147" s="7" t="s">
        <v>21</v>
      </c>
      <c r="J147" s="4" t="s">
        <v>36</v>
      </c>
      <c r="K147" s="10">
        <f t="shared" si="1"/>
        <v>1</v>
      </c>
      <c r="L147" s="10">
        <f t="shared" si="2"/>
        <v>7</v>
      </c>
    </row>
    <row r="148">
      <c r="A148" s="7" t="s">
        <v>182</v>
      </c>
      <c r="B148" s="7">
        <v>23.0</v>
      </c>
      <c r="C148" s="8">
        <v>46049.0</v>
      </c>
      <c r="D148" s="7" t="s">
        <v>43</v>
      </c>
      <c r="E148" s="9">
        <v>0.71875</v>
      </c>
      <c r="F148" s="4" t="s">
        <v>29</v>
      </c>
      <c r="G148" s="7" t="s">
        <v>39</v>
      </c>
      <c r="H148" s="7">
        <v>60.0</v>
      </c>
      <c r="I148" s="7" t="s">
        <v>21</v>
      </c>
      <c r="J148" s="4" t="s">
        <v>17</v>
      </c>
      <c r="K148" s="10">
        <f t="shared" si="1"/>
        <v>1</v>
      </c>
      <c r="L148" s="10">
        <f t="shared" si="2"/>
        <v>2</v>
      </c>
    </row>
    <row r="149">
      <c r="A149" s="7" t="s">
        <v>183</v>
      </c>
      <c r="B149" s="7">
        <v>49.0</v>
      </c>
      <c r="C149" s="8">
        <v>46109.0</v>
      </c>
      <c r="D149" s="7" t="s">
        <v>13</v>
      </c>
      <c r="E149" s="9">
        <v>0.71875</v>
      </c>
      <c r="F149" s="4" t="s">
        <v>29</v>
      </c>
      <c r="G149" s="7" t="s">
        <v>27</v>
      </c>
      <c r="H149" s="7">
        <v>35.0</v>
      </c>
      <c r="I149" s="7" t="s">
        <v>21</v>
      </c>
      <c r="J149" s="4" t="s">
        <v>17</v>
      </c>
      <c r="K149" s="10">
        <f t="shared" si="1"/>
        <v>3</v>
      </c>
      <c r="L149" s="10">
        <f t="shared" si="2"/>
        <v>6</v>
      </c>
    </row>
    <row r="150">
      <c r="A150" s="7" t="s">
        <v>184</v>
      </c>
      <c r="B150" s="7">
        <v>32.0</v>
      </c>
      <c r="C150" s="8">
        <v>46203.0</v>
      </c>
      <c r="D150" s="7" t="s">
        <v>43</v>
      </c>
      <c r="E150" s="9">
        <v>0.5416666666666666</v>
      </c>
      <c r="F150" s="4" t="s">
        <v>20</v>
      </c>
      <c r="G150" s="7" t="s">
        <v>35</v>
      </c>
      <c r="H150" s="7">
        <v>35.0</v>
      </c>
      <c r="I150" s="7" t="s">
        <v>21</v>
      </c>
      <c r="J150" s="4" t="s">
        <v>31</v>
      </c>
      <c r="K150" s="10">
        <f t="shared" si="1"/>
        <v>6</v>
      </c>
      <c r="L150" s="10">
        <f t="shared" si="2"/>
        <v>2</v>
      </c>
    </row>
    <row r="151">
      <c r="A151" s="7" t="s">
        <v>185</v>
      </c>
      <c r="B151" s="7">
        <v>23.0</v>
      </c>
      <c r="C151" s="8">
        <v>46202.0</v>
      </c>
      <c r="D151" s="7" t="s">
        <v>19</v>
      </c>
      <c r="E151" s="9">
        <v>0.5520833333333334</v>
      </c>
      <c r="F151" s="4" t="s">
        <v>20</v>
      </c>
      <c r="G151" s="7" t="s">
        <v>27</v>
      </c>
      <c r="H151" s="7">
        <v>50.0</v>
      </c>
      <c r="I151" s="7" t="s">
        <v>21</v>
      </c>
      <c r="J151" s="4" t="s">
        <v>31</v>
      </c>
      <c r="K151" s="10">
        <f t="shared" si="1"/>
        <v>6</v>
      </c>
      <c r="L151" s="10">
        <f t="shared" si="2"/>
        <v>1</v>
      </c>
    </row>
    <row r="152">
      <c r="A152" s="7" t="s">
        <v>186</v>
      </c>
      <c r="B152" s="7">
        <v>55.0</v>
      </c>
      <c r="C152" s="8">
        <v>46078.0</v>
      </c>
      <c r="D152" s="7" t="s">
        <v>50</v>
      </c>
      <c r="E152" s="9">
        <v>0.71875</v>
      </c>
      <c r="F152" s="4" t="s">
        <v>20</v>
      </c>
      <c r="G152" s="7" t="s">
        <v>30</v>
      </c>
      <c r="H152" s="7">
        <v>50.0</v>
      </c>
      <c r="I152" s="7" t="s">
        <v>16</v>
      </c>
      <c r="J152" s="4" t="s">
        <v>31</v>
      </c>
      <c r="K152" s="10">
        <f t="shared" si="1"/>
        <v>2</v>
      </c>
      <c r="L152" s="10">
        <f t="shared" si="2"/>
        <v>3</v>
      </c>
    </row>
    <row r="153">
      <c r="A153" s="7" t="s">
        <v>187</v>
      </c>
      <c r="B153" s="7">
        <v>58.0</v>
      </c>
      <c r="C153" s="8">
        <v>46070.0</v>
      </c>
      <c r="D153" s="7" t="s">
        <v>43</v>
      </c>
      <c r="E153" s="9">
        <v>0.5416666666666666</v>
      </c>
      <c r="F153" s="4" t="s">
        <v>20</v>
      </c>
      <c r="G153" s="7" t="s">
        <v>35</v>
      </c>
      <c r="H153" s="7">
        <v>40.0</v>
      </c>
      <c r="I153" s="7" t="s">
        <v>16</v>
      </c>
      <c r="J153" s="4" t="s">
        <v>22</v>
      </c>
      <c r="K153" s="10">
        <f t="shared" si="1"/>
        <v>2</v>
      </c>
      <c r="L153" s="10">
        <f t="shared" si="2"/>
        <v>2</v>
      </c>
    </row>
    <row r="154">
      <c r="A154" s="7" t="s">
        <v>188</v>
      </c>
      <c r="B154" s="7">
        <v>39.0</v>
      </c>
      <c r="C154" s="8">
        <v>46025.0</v>
      </c>
      <c r="D154" s="7" t="s">
        <v>13</v>
      </c>
      <c r="E154" s="9">
        <v>0.7083333333333334</v>
      </c>
      <c r="F154" s="4" t="s">
        <v>29</v>
      </c>
      <c r="G154" s="7" t="s">
        <v>39</v>
      </c>
      <c r="H154" s="7">
        <v>60.0</v>
      </c>
      <c r="I154" s="7" t="s">
        <v>16</v>
      </c>
      <c r="J154" s="4" t="s">
        <v>36</v>
      </c>
      <c r="K154" s="10">
        <f t="shared" si="1"/>
        <v>1</v>
      </c>
      <c r="L154" s="10">
        <f t="shared" si="2"/>
        <v>6</v>
      </c>
    </row>
    <row r="155">
      <c r="A155" s="7" t="s">
        <v>189</v>
      </c>
      <c r="B155" s="7">
        <v>65.0</v>
      </c>
      <c r="C155" s="8">
        <v>46093.0</v>
      </c>
      <c r="D155" s="7" t="s">
        <v>38</v>
      </c>
      <c r="E155" s="9">
        <v>0.7291666666666666</v>
      </c>
      <c r="F155" s="4" t="s">
        <v>29</v>
      </c>
      <c r="G155" s="7" t="s">
        <v>25</v>
      </c>
      <c r="H155" s="7">
        <v>50.0</v>
      </c>
      <c r="I155" s="7" t="s">
        <v>16</v>
      </c>
      <c r="J155" s="4" t="s">
        <v>31</v>
      </c>
      <c r="K155" s="10">
        <f t="shared" si="1"/>
        <v>3</v>
      </c>
      <c r="L155" s="10">
        <f t="shared" si="2"/>
        <v>4</v>
      </c>
    </row>
    <row r="156">
      <c r="A156" s="7" t="s">
        <v>190</v>
      </c>
      <c r="B156" s="7">
        <v>51.0</v>
      </c>
      <c r="C156" s="8">
        <v>46087.0</v>
      </c>
      <c r="D156" s="7" t="s">
        <v>33</v>
      </c>
      <c r="E156" s="9">
        <v>0.7083333333333334</v>
      </c>
      <c r="F156" s="4" t="s">
        <v>14</v>
      </c>
      <c r="G156" s="7" t="s">
        <v>44</v>
      </c>
      <c r="H156" s="7">
        <v>30.0</v>
      </c>
      <c r="I156" s="7" t="s">
        <v>21</v>
      </c>
      <c r="J156" s="4" t="s">
        <v>22</v>
      </c>
      <c r="K156" s="10">
        <f t="shared" si="1"/>
        <v>3</v>
      </c>
      <c r="L156" s="10">
        <f t="shared" si="2"/>
        <v>5</v>
      </c>
    </row>
    <row r="157">
      <c r="A157" s="7" t="s">
        <v>191</v>
      </c>
      <c r="B157" s="7">
        <v>25.0</v>
      </c>
      <c r="C157" s="8">
        <v>46138.0</v>
      </c>
      <c r="D157" s="7" t="s">
        <v>24</v>
      </c>
      <c r="E157" s="9">
        <v>0.71875</v>
      </c>
      <c r="F157" s="4" t="s">
        <v>29</v>
      </c>
      <c r="G157" s="7" t="s">
        <v>39</v>
      </c>
      <c r="H157" s="7">
        <v>50.0</v>
      </c>
      <c r="I157" s="7" t="s">
        <v>21</v>
      </c>
      <c r="J157" s="4" t="s">
        <v>22</v>
      </c>
      <c r="K157" s="10">
        <f t="shared" si="1"/>
        <v>4</v>
      </c>
      <c r="L157" s="10">
        <f t="shared" si="2"/>
        <v>7</v>
      </c>
    </row>
    <row r="158">
      <c r="A158" s="7" t="s">
        <v>192</v>
      </c>
      <c r="B158" s="7">
        <v>37.0</v>
      </c>
      <c r="C158" s="8">
        <v>46137.0</v>
      </c>
      <c r="D158" s="7" t="s">
        <v>13</v>
      </c>
      <c r="E158" s="9">
        <v>0.7291666666666666</v>
      </c>
      <c r="F158" s="4" t="s">
        <v>20</v>
      </c>
      <c r="G158" s="7" t="s">
        <v>25</v>
      </c>
      <c r="H158" s="7">
        <v>45.0</v>
      </c>
      <c r="I158" s="7" t="s">
        <v>21</v>
      </c>
      <c r="J158" s="4" t="s">
        <v>22</v>
      </c>
      <c r="K158" s="10">
        <f t="shared" si="1"/>
        <v>4</v>
      </c>
      <c r="L158" s="10">
        <f t="shared" si="2"/>
        <v>6</v>
      </c>
    </row>
    <row r="159">
      <c r="A159" s="7" t="s">
        <v>193</v>
      </c>
      <c r="B159" s="7">
        <v>64.0</v>
      </c>
      <c r="C159" s="8">
        <v>46068.0</v>
      </c>
      <c r="D159" s="7" t="s">
        <v>24</v>
      </c>
      <c r="E159" s="9">
        <v>0.71875</v>
      </c>
      <c r="F159" s="4" t="s">
        <v>14</v>
      </c>
      <c r="G159" s="7" t="s">
        <v>25</v>
      </c>
      <c r="H159" s="7">
        <v>20.0</v>
      </c>
      <c r="I159" s="7" t="s">
        <v>21</v>
      </c>
      <c r="J159" s="4" t="s">
        <v>36</v>
      </c>
      <c r="K159" s="10">
        <f t="shared" si="1"/>
        <v>2</v>
      </c>
      <c r="L159" s="10">
        <f t="shared" si="2"/>
        <v>7</v>
      </c>
    </row>
    <row r="160">
      <c r="A160" s="7" t="s">
        <v>194</v>
      </c>
      <c r="B160" s="7">
        <v>72.0</v>
      </c>
      <c r="C160" s="8">
        <v>46078.0</v>
      </c>
      <c r="D160" s="7" t="s">
        <v>50</v>
      </c>
      <c r="E160" s="9">
        <v>0.5416666666666666</v>
      </c>
      <c r="F160" s="4" t="s">
        <v>29</v>
      </c>
      <c r="G160" s="7" t="s">
        <v>44</v>
      </c>
      <c r="H160" s="7">
        <v>60.0</v>
      </c>
      <c r="I160" s="7" t="s">
        <v>21</v>
      </c>
      <c r="J160" s="4" t="s">
        <v>22</v>
      </c>
      <c r="K160" s="10">
        <f t="shared" si="1"/>
        <v>2</v>
      </c>
      <c r="L160" s="10">
        <f t="shared" si="2"/>
        <v>3</v>
      </c>
    </row>
    <row r="161">
      <c r="A161" s="7" t="s">
        <v>195</v>
      </c>
      <c r="B161" s="7">
        <v>65.0</v>
      </c>
      <c r="C161" s="8">
        <v>46071.0</v>
      </c>
      <c r="D161" s="7" t="s">
        <v>50</v>
      </c>
      <c r="E161" s="9">
        <v>0.7083333333333334</v>
      </c>
      <c r="F161" s="4" t="s">
        <v>29</v>
      </c>
      <c r="G161" s="7" t="s">
        <v>39</v>
      </c>
      <c r="H161" s="7">
        <v>30.0</v>
      </c>
      <c r="I161" s="7" t="s">
        <v>16</v>
      </c>
      <c r="J161" s="4" t="s">
        <v>22</v>
      </c>
      <c r="K161" s="10">
        <f t="shared" si="1"/>
        <v>2</v>
      </c>
      <c r="L161" s="10">
        <f t="shared" si="2"/>
        <v>3</v>
      </c>
    </row>
    <row r="162">
      <c r="A162" s="7" t="s">
        <v>196</v>
      </c>
      <c r="B162" s="7">
        <v>75.0</v>
      </c>
      <c r="C162" s="8">
        <v>46175.0</v>
      </c>
      <c r="D162" s="7" t="s">
        <v>43</v>
      </c>
      <c r="E162" s="9">
        <v>0.7083333333333334</v>
      </c>
      <c r="F162" s="4" t="s">
        <v>29</v>
      </c>
      <c r="G162" s="7" t="s">
        <v>44</v>
      </c>
      <c r="H162" s="7">
        <v>45.0</v>
      </c>
      <c r="I162" s="7" t="s">
        <v>16</v>
      </c>
      <c r="J162" s="4" t="s">
        <v>22</v>
      </c>
      <c r="K162" s="10">
        <f t="shared" si="1"/>
        <v>6</v>
      </c>
      <c r="L162" s="10">
        <f t="shared" si="2"/>
        <v>2</v>
      </c>
    </row>
    <row r="163">
      <c r="A163" s="7" t="s">
        <v>197</v>
      </c>
      <c r="B163" s="7">
        <v>47.0</v>
      </c>
      <c r="C163" s="8">
        <v>46035.0</v>
      </c>
      <c r="D163" s="7" t="s">
        <v>43</v>
      </c>
      <c r="E163" s="9">
        <v>0.7083333333333334</v>
      </c>
      <c r="F163" s="4" t="s">
        <v>14</v>
      </c>
      <c r="G163" s="7" t="s">
        <v>27</v>
      </c>
      <c r="H163" s="7">
        <v>25.0</v>
      </c>
      <c r="I163" s="7" t="s">
        <v>21</v>
      </c>
      <c r="J163" s="4" t="s">
        <v>31</v>
      </c>
      <c r="K163" s="10">
        <f t="shared" si="1"/>
        <v>1</v>
      </c>
      <c r="L163" s="10">
        <f t="shared" si="2"/>
        <v>2</v>
      </c>
    </row>
    <row r="164">
      <c r="A164" s="7" t="s">
        <v>198</v>
      </c>
      <c r="B164" s="7">
        <v>68.0</v>
      </c>
      <c r="C164" s="8">
        <v>46084.0</v>
      </c>
      <c r="D164" s="7" t="s">
        <v>43</v>
      </c>
      <c r="E164" s="9">
        <v>0.5625</v>
      </c>
      <c r="F164" s="4" t="s">
        <v>20</v>
      </c>
      <c r="G164" s="7" t="s">
        <v>44</v>
      </c>
      <c r="H164" s="7">
        <v>15.0</v>
      </c>
      <c r="I164" s="7" t="s">
        <v>21</v>
      </c>
      <c r="J164" s="4" t="s">
        <v>36</v>
      </c>
      <c r="K164" s="10">
        <f t="shared" si="1"/>
        <v>3</v>
      </c>
      <c r="L164" s="10">
        <f t="shared" si="2"/>
        <v>2</v>
      </c>
    </row>
    <row r="165">
      <c r="A165" s="7" t="s">
        <v>199</v>
      </c>
      <c r="B165" s="7">
        <v>74.0</v>
      </c>
      <c r="C165" s="8">
        <v>46141.0</v>
      </c>
      <c r="D165" s="7" t="s">
        <v>50</v>
      </c>
      <c r="E165" s="9">
        <v>0.7291666666666666</v>
      </c>
      <c r="F165" s="4" t="s">
        <v>14</v>
      </c>
      <c r="G165" s="7" t="s">
        <v>39</v>
      </c>
      <c r="H165" s="7">
        <v>15.0</v>
      </c>
      <c r="I165" s="7" t="s">
        <v>21</v>
      </c>
      <c r="J165" s="4" t="s">
        <v>31</v>
      </c>
      <c r="K165" s="10">
        <f t="shared" si="1"/>
        <v>4</v>
      </c>
      <c r="L165" s="10">
        <f t="shared" si="2"/>
        <v>3</v>
      </c>
    </row>
    <row r="166">
      <c r="A166" s="7" t="s">
        <v>200</v>
      </c>
      <c r="B166" s="7">
        <v>76.0</v>
      </c>
      <c r="C166" s="8">
        <v>46203.0</v>
      </c>
      <c r="D166" s="7" t="s">
        <v>43</v>
      </c>
      <c r="E166" s="9">
        <v>0.375</v>
      </c>
      <c r="F166" s="4" t="s">
        <v>29</v>
      </c>
      <c r="G166" s="7" t="s">
        <v>30</v>
      </c>
      <c r="H166" s="7">
        <v>25.0</v>
      </c>
      <c r="I166" s="7" t="s">
        <v>21</v>
      </c>
      <c r="J166" s="4" t="s">
        <v>31</v>
      </c>
      <c r="K166" s="10">
        <f t="shared" si="1"/>
        <v>6</v>
      </c>
      <c r="L166" s="10">
        <f t="shared" si="2"/>
        <v>2</v>
      </c>
    </row>
    <row r="167">
      <c r="A167" s="7" t="s">
        <v>201</v>
      </c>
      <c r="B167" s="7">
        <v>80.0</v>
      </c>
      <c r="C167" s="8">
        <v>46197.0</v>
      </c>
      <c r="D167" s="7" t="s">
        <v>50</v>
      </c>
      <c r="E167" s="9">
        <v>0.3958333333333333</v>
      </c>
      <c r="F167" s="4" t="s">
        <v>20</v>
      </c>
      <c r="G167" s="7" t="s">
        <v>27</v>
      </c>
      <c r="H167" s="7">
        <v>30.0</v>
      </c>
      <c r="I167" s="7" t="s">
        <v>21</v>
      </c>
      <c r="J167" s="4" t="s">
        <v>22</v>
      </c>
      <c r="K167" s="10">
        <f t="shared" si="1"/>
        <v>6</v>
      </c>
      <c r="L167" s="10">
        <f t="shared" si="2"/>
        <v>3</v>
      </c>
    </row>
    <row r="168">
      <c r="A168" s="7" t="s">
        <v>202</v>
      </c>
      <c r="B168" s="7">
        <v>18.0</v>
      </c>
      <c r="C168" s="8">
        <v>46107.0</v>
      </c>
      <c r="D168" s="7" t="s">
        <v>38</v>
      </c>
      <c r="E168" s="9">
        <v>0.7291666666666666</v>
      </c>
      <c r="F168" s="4" t="s">
        <v>20</v>
      </c>
      <c r="G168" s="7" t="s">
        <v>25</v>
      </c>
      <c r="H168" s="7">
        <v>35.0</v>
      </c>
      <c r="I168" s="7" t="s">
        <v>16</v>
      </c>
      <c r="J168" s="4" t="s">
        <v>17</v>
      </c>
      <c r="K168" s="10">
        <f t="shared" si="1"/>
        <v>3</v>
      </c>
      <c r="L168" s="10">
        <f t="shared" si="2"/>
        <v>4</v>
      </c>
    </row>
    <row r="169">
      <c r="A169" s="7" t="s">
        <v>203</v>
      </c>
      <c r="B169" s="7">
        <v>19.0</v>
      </c>
      <c r="C169" s="8">
        <v>46092.0</v>
      </c>
      <c r="D169" s="7" t="s">
        <v>50</v>
      </c>
      <c r="E169" s="9">
        <v>0.3958333333333333</v>
      </c>
      <c r="F169" s="4" t="s">
        <v>14</v>
      </c>
      <c r="G169" s="7" t="s">
        <v>15</v>
      </c>
      <c r="H169" s="7">
        <v>35.0</v>
      </c>
      <c r="I169" s="7" t="s">
        <v>21</v>
      </c>
      <c r="J169" s="4" t="s">
        <v>17</v>
      </c>
      <c r="K169" s="10">
        <f t="shared" si="1"/>
        <v>3</v>
      </c>
      <c r="L169" s="10">
        <f t="shared" si="2"/>
        <v>3</v>
      </c>
    </row>
    <row r="170">
      <c r="A170" s="7" t="s">
        <v>204</v>
      </c>
      <c r="B170" s="7">
        <v>49.0</v>
      </c>
      <c r="C170" s="8">
        <v>46199.0</v>
      </c>
      <c r="D170" s="7" t="s">
        <v>33</v>
      </c>
      <c r="E170" s="9">
        <v>0.375</v>
      </c>
      <c r="F170" s="4" t="s">
        <v>20</v>
      </c>
      <c r="G170" s="7" t="s">
        <v>44</v>
      </c>
      <c r="H170" s="7">
        <v>30.0</v>
      </c>
      <c r="I170" s="7" t="s">
        <v>21</v>
      </c>
      <c r="J170" s="4" t="s">
        <v>36</v>
      </c>
      <c r="K170" s="10">
        <f t="shared" si="1"/>
        <v>6</v>
      </c>
      <c r="L170" s="10">
        <f t="shared" si="2"/>
        <v>5</v>
      </c>
    </row>
    <row r="171">
      <c r="A171" s="7" t="s">
        <v>205</v>
      </c>
      <c r="B171" s="7">
        <v>39.0</v>
      </c>
      <c r="C171" s="8">
        <v>46076.0</v>
      </c>
      <c r="D171" s="7" t="s">
        <v>19</v>
      </c>
      <c r="E171" s="9">
        <v>0.5625</v>
      </c>
      <c r="F171" s="4" t="s">
        <v>20</v>
      </c>
      <c r="G171" s="7" t="s">
        <v>39</v>
      </c>
      <c r="H171" s="7">
        <v>60.0</v>
      </c>
      <c r="I171" s="7" t="s">
        <v>21</v>
      </c>
      <c r="J171" s="4" t="s">
        <v>31</v>
      </c>
      <c r="K171" s="10">
        <f t="shared" si="1"/>
        <v>2</v>
      </c>
      <c r="L171" s="10">
        <f t="shared" si="2"/>
        <v>1</v>
      </c>
    </row>
    <row r="172">
      <c r="A172" s="7" t="s">
        <v>206</v>
      </c>
      <c r="B172" s="7">
        <v>77.0</v>
      </c>
      <c r="C172" s="8">
        <v>46112.0</v>
      </c>
      <c r="D172" s="7" t="s">
        <v>43</v>
      </c>
      <c r="E172" s="9">
        <v>0.7291666666666666</v>
      </c>
      <c r="F172" s="4" t="s">
        <v>20</v>
      </c>
      <c r="G172" s="7" t="s">
        <v>15</v>
      </c>
      <c r="H172" s="7">
        <v>20.0</v>
      </c>
      <c r="I172" s="7" t="s">
        <v>21</v>
      </c>
      <c r="J172" s="4" t="s">
        <v>31</v>
      </c>
      <c r="K172" s="10">
        <f t="shared" si="1"/>
        <v>3</v>
      </c>
      <c r="L172" s="10">
        <f t="shared" si="2"/>
        <v>2</v>
      </c>
    </row>
    <row r="173">
      <c r="A173" s="7" t="s">
        <v>207</v>
      </c>
      <c r="B173" s="7">
        <v>46.0</v>
      </c>
      <c r="C173" s="8">
        <v>46159.0</v>
      </c>
      <c r="D173" s="7" t="s">
        <v>24</v>
      </c>
      <c r="E173" s="9">
        <v>0.7291666666666666</v>
      </c>
      <c r="F173" s="4" t="s">
        <v>14</v>
      </c>
      <c r="G173" s="7" t="s">
        <v>27</v>
      </c>
      <c r="H173" s="7">
        <v>35.0</v>
      </c>
      <c r="I173" s="7" t="s">
        <v>21</v>
      </c>
      <c r="J173" s="4" t="s">
        <v>17</v>
      </c>
      <c r="K173" s="10">
        <f t="shared" si="1"/>
        <v>5</v>
      </c>
      <c r="L173" s="10">
        <f t="shared" si="2"/>
        <v>7</v>
      </c>
    </row>
    <row r="174">
      <c r="A174" s="7" t="s">
        <v>208</v>
      </c>
      <c r="B174" s="7">
        <v>80.0</v>
      </c>
      <c r="C174" s="8">
        <v>46060.0</v>
      </c>
      <c r="D174" s="7" t="s">
        <v>13</v>
      </c>
      <c r="E174" s="9">
        <v>0.5416666666666666</v>
      </c>
      <c r="F174" s="4" t="s">
        <v>29</v>
      </c>
      <c r="G174" s="7" t="s">
        <v>30</v>
      </c>
      <c r="H174" s="7">
        <v>45.0</v>
      </c>
      <c r="I174" s="7" t="s">
        <v>21</v>
      </c>
      <c r="J174" s="4" t="s">
        <v>17</v>
      </c>
      <c r="K174" s="10">
        <f t="shared" si="1"/>
        <v>2</v>
      </c>
      <c r="L174" s="10">
        <f t="shared" si="2"/>
        <v>6</v>
      </c>
    </row>
    <row r="175">
      <c r="A175" s="7" t="s">
        <v>209</v>
      </c>
      <c r="B175" s="7">
        <v>36.0</v>
      </c>
      <c r="C175" s="8">
        <v>46162.0</v>
      </c>
      <c r="D175" s="7" t="s">
        <v>50</v>
      </c>
      <c r="E175" s="9">
        <v>0.7291666666666666</v>
      </c>
      <c r="F175" s="4" t="s">
        <v>29</v>
      </c>
      <c r="G175" s="7" t="s">
        <v>44</v>
      </c>
      <c r="H175" s="7">
        <v>25.0</v>
      </c>
      <c r="I175" s="7" t="s">
        <v>21</v>
      </c>
      <c r="J175" s="4" t="s">
        <v>22</v>
      </c>
      <c r="K175" s="10">
        <f t="shared" si="1"/>
        <v>5</v>
      </c>
      <c r="L175" s="10">
        <f t="shared" si="2"/>
        <v>3</v>
      </c>
    </row>
    <row r="176">
      <c r="A176" s="7" t="s">
        <v>210</v>
      </c>
      <c r="B176" s="7">
        <v>73.0</v>
      </c>
      <c r="C176" s="8">
        <v>46079.0</v>
      </c>
      <c r="D176" s="7" t="s">
        <v>38</v>
      </c>
      <c r="E176" s="9">
        <v>0.5416666666666666</v>
      </c>
      <c r="F176" s="4" t="s">
        <v>14</v>
      </c>
      <c r="G176" s="7" t="s">
        <v>25</v>
      </c>
      <c r="H176" s="7">
        <v>30.0</v>
      </c>
      <c r="I176" s="7" t="s">
        <v>21</v>
      </c>
      <c r="J176" s="4" t="s">
        <v>36</v>
      </c>
      <c r="K176" s="10">
        <f t="shared" si="1"/>
        <v>2</v>
      </c>
      <c r="L176" s="10">
        <f t="shared" si="2"/>
        <v>4</v>
      </c>
    </row>
    <row r="177">
      <c r="A177" s="7" t="s">
        <v>211</v>
      </c>
      <c r="B177" s="7">
        <v>32.0</v>
      </c>
      <c r="C177" s="8">
        <v>46156.0</v>
      </c>
      <c r="D177" s="7" t="s">
        <v>38</v>
      </c>
      <c r="E177" s="9">
        <v>0.7083333333333334</v>
      </c>
      <c r="F177" s="4" t="s">
        <v>29</v>
      </c>
      <c r="G177" s="7" t="s">
        <v>39</v>
      </c>
      <c r="H177" s="7">
        <v>15.0</v>
      </c>
      <c r="I177" s="7" t="s">
        <v>16</v>
      </c>
      <c r="J177" s="4" t="s">
        <v>36</v>
      </c>
      <c r="K177" s="10">
        <f t="shared" si="1"/>
        <v>5</v>
      </c>
      <c r="L177" s="10">
        <f t="shared" si="2"/>
        <v>4</v>
      </c>
    </row>
    <row r="178">
      <c r="A178" s="7" t="s">
        <v>212</v>
      </c>
      <c r="B178" s="7">
        <v>75.0</v>
      </c>
      <c r="C178" s="8">
        <v>46106.0</v>
      </c>
      <c r="D178" s="7" t="s">
        <v>50</v>
      </c>
      <c r="E178" s="9">
        <v>0.3958333333333333</v>
      </c>
      <c r="F178" s="4" t="s">
        <v>14</v>
      </c>
      <c r="G178" s="7" t="s">
        <v>35</v>
      </c>
      <c r="H178" s="7">
        <v>15.0</v>
      </c>
      <c r="I178" s="7" t="s">
        <v>21</v>
      </c>
      <c r="J178" s="4" t="s">
        <v>22</v>
      </c>
      <c r="K178" s="10">
        <f t="shared" si="1"/>
        <v>3</v>
      </c>
      <c r="L178" s="10">
        <f t="shared" si="2"/>
        <v>3</v>
      </c>
    </row>
    <row r="179">
      <c r="A179" s="7" t="s">
        <v>213</v>
      </c>
      <c r="B179" s="7">
        <v>50.0</v>
      </c>
      <c r="C179" s="8">
        <v>46026.0</v>
      </c>
      <c r="D179" s="7" t="s">
        <v>24</v>
      </c>
      <c r="E179" s="9">
        <v>0.3854166666666667</v>
      </c>
      <c r="F179" s="4" t="s">
        <v>29</v>
      </c>
      <c r="G179" s="7" t="s">
        <v>35</v>
      </c>
      <c r="H179" s="7">
        <v>40.0</v>
      </c>
      <c r="I179" s="7" t="s">
        <v>21</v>
      </c>
      <c r="J179" s="4" t="s">
        <v>17</v>
      </c>
      <c r="K179" s="10">
        <f t="shared" si="1"/>
        <v>1</v>
      </c>
      <c r="L179" s="10">
        <f t="shared" si="2"/>
        <v>7</v>
      </c>
    </row>
    <row r="180">
      <c r="A180" s="7" t="s">
        <v>214</v>
      </c>
      <c r="B180" s="7">
        <v>78.0</v>
      </c>
      <c r="C180" s="8">
        <v>46126.0</v>
      </c>
      <c r="D180" s="7" t="s">
        <v>43</v>
      </c>
      <c r="E180" s="9">
        <v>0.5416666666666666</v>
      </c>
      <c r="F180" s="4" t="s">
        <v>14</v>
      </c>
      <c r="G180" s="7" t="s">
        <v>15</v>
      </c>
      <c r="H180" s="7">
        <v>35.0</v>
      </c>
      <c r="I180" s="7" t="s">
        <v>21</v>
      </c>
      <c r="J180" s="4" t="s">
        <v>22</v>
      </c>
      <c r="K180" s="10">
        <f t="shared" si="1"/>
        <v>4</v>
      </c>
      <c r="L180" s="10">
        <f t="shared" si="2"/>
        <v>2</v>
      </c>
    </row>
    <row r="181">
      <c r="A181" s="7" t="s">
        <v>215</v>
      </c>
      <c r="B181" s="7">
        <v>27.0</v>
      </c>
      <c r="C181" s="8">
        <v>46061.0</v>
      </c>
      <c r="D181" s="7" t="s">
        <v>24</v>
      </c>
      <c r="E181" s="9">
        <v>0.5520833333333334</v>
      </c>
      <c r="F181" s="4" t="s">
        <v>14</v>
      </c>
      <c r="G181" s="7" t="s">
        <v>58</v>
      </c>
      <c r="H181" s="7">
        <v>20.0</v>
      </c>
      <c r="I181" s="7" t="s">
        <v>21</v>
      </c>
      <c r="J181" s="4" t="s">
        <v>22</v>
      </c>
      <c r="K181" s="10">
        <f t="shared" si="1"/>
        <v>2</v>
      </c>
      <c r="L181" s="10">
        <f t="shared" si="2"/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13">
      <c r="E13" s="1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E1" s="10" t="s">
        <v>219</v>
      </c>
      <c r="F1" s="10" t="s">
        <v>219</v>
      </c>
      <c r="G1" s="10" t="s">
        <v>219</v>
      </c>
      <c r="H1" s="10" t="s">
        <v>219</v>
      </c>
      <c r="I1" s="10" t="s">
        <v>219</v>
      </c>
      <c r="J1" s="10" t="s">
        <v>219</v>
      </c>
      <c r="K1" s="10" t="s">
        <v>219</v>
      </c>
      <c r="L1" s="10" t="s">
        <v>219</v>
      </c>
    </row>
    <row r="2"/>
    <row r="3"/>
    <row r="4"/>
    <row r="5"/>
    <row r="6"/>
    <row r="7"/>
    <row r="8"/>
    <row r="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</sheetData>
  <drawing r:id="rId2"/>
</worksheet>
</file>